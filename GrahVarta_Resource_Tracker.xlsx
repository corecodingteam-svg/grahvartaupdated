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omain Tracker" sheetId="2" state="visible" r:id="rId2"/>
    <sheet xmlns:r="http://schemas.openxmlformats.org/officeDocument/2006/relationships" name="Hosting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&quot;$&quot;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b val="1"/>
      <color rgb="001F3864"/>
      <sz val="10"/>
    </font>
    <font>
      <name val="Calibri"/>
      <i val="1"/>
      <color rgb="00888888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5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left" vertical="center"/>
    </xf>
    <xf numFmtId="1" fontId="3" fillId="5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4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📊  GrahVarta — Resource Expiry Dashboard</t>
        </is>
      </c>
    </row>
    <row r="3" ht="26" customHeight="1">
      <c r="A3" s="2" t="inlineStr">
        <is>
          <t>DOMAIN SUMMARY</t>
        </is>
      </c>
    </row>
    <row r="4">
      <c r="A4" s="3" t="inlineStr">
        <is>
          <t>Total Domains</t>
        </is>
      </c>
      <c r="B4" s="4">
        <f>COUNTA('Domain Tracker'!B3:B200)</f>
        <v/>
      </c>
    </row>
    <row r="5">
      <c r="A5" s="3" t="inlineStr">
        <is>
          <t>Critical (≤30 days)</t>
        </is>
      </c>
      <c r="B5" s="4">
        <f>COUNTIF('Domain Tracker'!G3:G200,"🔴 Critical")</f>
        <v/>
      </c>
    </row>
    <row r="6">
      <c r="A6" s="3" t="inlineStr">
        <is>
          <t>Expiring Soon (≤90 days)</t>
        </is>
      </c>
      <c r="B6" s="4">
        <f>COUNTIF('Domain Tracker'!G3:G200,"🟡 Expiring Soon")</f>
        <v/>
      </c>
    </row>
    <row r="7">
      <c r="A7" s="3" t="inlineStr">
        <is>
          <t>Active / Healthy</t>
        </is>
      </c>
      <c r="B7" s="4">
        <f>COUNTIF('Domain Tracker'!G3:G200,"🟢 Active")</f>
        <v/>
      </c>
    </row>
    <row r="9" ht="26" customHeight="1">
      <c r="A9" s="2" t="inlineStr">
        <is>
          <t>HOSTING SUMMARY</t>
        </is>
      </c>
    </row>
    <row r="10">
      <c r="A10" s="3" t="inlineStr">
        <is>
          <t>Total Services</t>
        </is>
      </c>
      <c r="B10" s="4">
        <f>COUNTA('Hosting Tracker'!B3:B200)</f>
        <v/>
      </c>
    </row>
    <row r="11">
      <c r="A11" s="3" t="inlineStr">
        <is>
          <t>Critical (≤30 days)</t>
        </is>
      </c>
      <c r="B11" s="4">
        <f>COUNTIF('Hosting Tracker'!I3:I200,"🔴 Critical")</f>
        <v/>
      </c>
    </row>
    <row r="12">
      <c r="A12" s="3" t="inlineStr">
        <is>
          <t>Expiring Soon (≤90 days)</t>
        </is>
      </c>
      <c r="B12" s="4">
        <f>COUNTIF('Hosting Tracker'!I3:I200,"🟡 Expiring Soon")</f>
        <v/>
      </c>
    </row>
    <row r="13">
      <c r="A13" s="3" t="inlineStr">
        <is>
          <t>Active / Healthy</t>
        </is>
      </c>
      <c r="B13" s="4">
        <f>COUNTIF('Hosting Tracker'!I3:I200,"🟢 Active")</f>
        <v/>
      </c>
    </row>
    <row r="14">
      <c r="A14" s="3" t="inlineStr">
        <is>
          <t>Monthly Cost (USD)</t>
        </is>
      </c>
      <c r="B14" s="5">
        <f>SUM('Hosting Tracker'!J3:J200)</f>
        <v/>
      </c>
    </row>
    <row r="16">
      <c r="A16" s="6" t="inlineStr">
        <is>
          <t>Last updated: 12 Sep 2026</t>
        </is>
      </c>
    </row>
  </sheetData>
  <mergeCells count="3">
    <mergeCell ref="A9:H9"/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3" customWidth="1" min="8" max="8"/>
    <col width="18" customWidth="1" min="9" max="9"/>
    <col width="16" customWidth="1" min="10" max="10"/>
    <col width="22" customWidth="1" min="11" max="11"/>
    <col width="30" customWidth="1" min="12" max="12"/>
  </cols>
  <sheetData>
    <row r="1" ht="36" customHeight="1">
      <c r="A1" s="7" t="inlineStr">
        <is>
          <t>🌐  GrahVarta — Domain Resource Tracker</t>
        </is>
      </c>
    </row>
    <row r="2" ht="30" customHeight="1">
      <c r="A2" s="8" t="inlineStr">
        <is>
          <t>S.No</t>
        </is>
      </c>
      <c r="B2" s="8" t="inlineStr">
        <is>
          <t>Domain Name</t>
        </is>
      </c>
      <c r="C2" s="8" t="inlineStr">
        <is>
          <t>Registrar</t>
        </is>
      </c>
      <c r="D2" s="8" t="inlineStr">
        <is>
          <t>Purchase Date</t>
        </is>
      </c>
      <c r="E2" s="8" t="inlineStr">
        <is>
          <t>Expiry Date</t>
        </is>
      </c>
      <c r="F2" s="8" t="inlineStr">
        <is>
          <t>Days Remaining</t>
        </is>
      </c>
      <c r="G2" s="8" t="inlineStr">
        <is>
          <t>Status</t>
        </is>
      </c>
      <c r="H2" s="8" t="inlineStr">
        <is>
          <t>Auto-Renew</t>
        </is>
      </c>
      <c r="I2" s="8" t="inlineStr">
        <is>
          <t>DNS Provider</t>
        </is>
      </c>
      <c r="J2" s="8" t="inlineStr">
        <is>
          <t>SSL Expiry</t>
        </is>
      </c>
      <c r="K2" s="8" t="inlineStr">
        <is>
          <t>Linked Project</t>
        </is>
      </c>
      <c r="L2" s="8" t="inlineStr">
        <is>
          <t>Notes</t>
        </is>
      </c>
    </row>
    <row r="3" ht="22" customHeight="1">
      <c r="A3" s="9" t="n">
        <v>1</v>
      </c>
      <c r="B3" s="10" t="inlineStr">
        <is>
          <t>grahvarta.com</t>
        </is>
      </c>
      <c r="C3" s="10" t="inlineStr">
        <is>
          <t>GoDaddy</t>
        </is>
      </c>
      <c r="D3" s="11" t="n">
        <v>45366</v>
      </c>
      <c r="E3" s="11" t="n">
        <v>46096</v>
      </c>
      <c r="F3" s="12">
        <f>E3-TODAY()</f>
        <v/>
      </c>
      <c r="G3" s="9">
        <f>IF(F3="","",IF(F3&lt;=30,"🔴 Critical",IF(F3&lt;=90,"🟡 Expiring Soon","🟢 Active")))</f>
        <v/>
      </c>
      <c r="H3" s="9" t="inlineStr">
        <is>
          <t>Yes</t>
        </is>
      </c>
      <c r="I3" s="10" t="inlineStr">
        <is>
          <t>Cloudflare</t>
        </is>
      </c>
      <c r="J3" s="11" t="n">
        <v>46188</v>
      </c>
      <c r="K3" s="10" t="inlineStr">
        <is>
          <t>Main App</t>
        </is>
      </c>
      <c r="L3" s="10" t="inlineStr">
        <is>
          <t>Primary domain</t>
        </is>
      </c>
    </row>
    <row r="4" ht="22" customHeight="1">
      <c r="A4" s="13" t="n">
        <v>2</v>
      </c>
      <c r="B4" s="14" t="inlineStr">
        <is>
          <t>grahvarta.in</t>
        </is>
      </c>
      <c r="C4" s="14" t="inlineStr">
        <is>
          <t>Namecheap</t>
        </is>
      </c>
      <c r="D4" s="15" t="n">
        <v>45413</v>
      </c>
      <c r="E4" s="15" t="n">
        <v>46143</v>
      </c>
      <c r="F4" s="16">
        <f>E4-TODAY()</f>
        <v/>
      </c>
      <c r="G4" s="13">
        <f>IF(F4="","",IF(F4&lt;=30,"🔴 Critical",IF(F4&lt;=90,"🟡 Expiring Soon","🟢 Active")))</f>
        <v/>
      </c>
      <c r="H4" s="13" t="inlineStr">
        <is>
          <t>Yes</t>
        </is>
      </c>
      <c r="I4" s="14" t="inlineStr">
        <is>
          <t>Cloudflare</t>
        </is>
      </c>
      <c r="J4" s="15" t="n">
        <v>46143</v>
      </c>
      <c r="K4" s="14" t="inlineStr">
        <is>
          <t>India Market</t>
        </is>
      </c>
      <c r="L4" s="14" t="inlineStr"/>
    </row>
    <row r="5" ht="22" customHeight="1">
      <c r="A5" s="9" t="n">
        <v>3</v>
      </c>
      <c r="B5" s="10" t="inlineStr">
        <is>
          <t>grahvarta.app</t>
        </is>
      </c>
      <c r="C5" s="10" t="inlineStr">
        <is>
          <t>Google</t>
        </is>
      </c>
      <c r="D5" s="11" t="n">
        <v>45677</v>
      </c>
      <c r="E5" s="11" t="n">
        <v>46042</v>
      </c>
      <c r="F5" s="12">
        <f>E5-TODAY()</f>
        <v/>
      </c>
      <c r="G5" s="9">
        <f>IF(F5="","",IF(F5&lt;=30,"🔴 Critical",IF(F5&lt;=90,"🟡 Expiring Soon","🟢 Active")))</f>
        <v/>
      </c>
      <c r="H5" s="9" t="inlineStr">
        <is>
          <t>No</t>
        </is>
      </c>
      <c r="I5" s="10" t="inlineStr">
        <is>
          <t>Google DNS</t>
        </is>
      </c>
      <c r="J5" s="11" t="n">
        <v>46022</v>
      </c>
      <c r="K5" s="10" t="inlineStr">
        <is>
          <t>PWA</t>
        </is>
      </c>
      <c r="L5" s="10" t="inlineStr">
        <is>
          <t>Renewal pending</t>
        </is>
      </c>
    </row>
    <row r="6" ht="22" customHeight="1">
      <c r="A6" s="13" t="n">
        <v>4</v>
      </c>
      <c r="B6" s="14" t="inlineStr">
        <is>
          <t>astrology.grahvarta.com</t>
        </is>
      </c>
      <c r="C6" s="14" t="inlineStr">
        <is>
          <t>GoDaddy</t>
        </is>
      </c>
      <c r="D6" s="15" t="n">
        <v>45514</v>
      </c>
      <c r="E6" s="15" t="n">
        <v>46244</v>
      </c>
      <c r="F6" s="16">
        <f>E6-TODAY()</f>
        <v/>
      </c>
      <c r="G6" s="13">
        <f>IF(F6="","",IF(F6&lt;=30,"🔴 Critical",IF(F6&lt;=90,"🟡 Expiring Soon","🟢 Active")))</f>
        <v/>
      </c>
      <c r="H6" s="13" t="inlineStr">
        <is>
          <t>Yes</t>
        </is>
      </c>
      <c r="I6" s="14" t="inlineStr">
        <is>
          <t>Cloudflare</t>
        </is>
      </c>
      <c r="J6" s="15" t="n">
        <v>46244</v>
      </c>
      <c r="K6" s="14" t="inlineStr">
        <is>
          <t>Astrologer App</t>
        </is>
      </c>
      <c r="L6" s="14" t="inlineStr">
        <is>
          <t>Subdomain</t>
        </is>
      </c>
    </row>
    <row r="7">
      <c r="G7" s="17">
        <f>IF(F7="","",IF(F7&lt;=30,"🔴 Critical",IF(F7&lt;=90,"🟡 Expiring Soon","🟢 Active")))</f>
        <v/>
      </c>
    </row>
    <row r="8">
      <c r="G8" s="17">
        <f>IF(F8="","",IF(F8&lt;=30,"🔴 Critical",IF(F8&lt;=90,"🟡 Expiring Soon","🟢 Active")))</f>
        <v/>
      </c>
    </row>
    <row r="9">
      <c r="G9" s="17">
        <f>IF(F9="","",IF(F9&lt;=30,"🔴 Critical",IF(F9&lt;=90,"🟡 Expiring Soon","🟢 Active")))</f>
        <v/>
      </c>
    </row>
    <row r="10">
      <c r="G10" s="17">
        <f>IF(F10="","",IF(F10&lt;=30,"🔴 Critical",IF(F10&lt;=90,"🟡 Expiring Soon","🟢 Active")))</f>
        <v/>
      </c>
    </row>
    <row r="11">
      <c r="G11" s="17">
        <f>IF(F11="","",IF(F11&lt;=30,"🔴 Critical",IF(F11&lt;=90,"🟡 Expiring Soon","🟢 Active")))</f>
        <v/>
      </c>
    </row>
    <row r="12">
      <c r="G12" s="17">
        <f>IF(F12="","",IF(F12&lt;=30,"🔴 Critical",IF(F12&lt;=90,"🟡 Expiring Soon","🟢 Active")))</f>
        <v/>
      </c>
    </row>
    <row r="13">
      <c r="G13" s="17">
        <f>IF(F13="","",IF(F13&lt;=30,"🔴 Critical",IF(F13&lt;=90,"🟡 Expiring Soon","🟢 Active")))</f>
        <v/>
      </c>
    </row>
    <row r="14">
      <c r="G14" s="17">
        <f>IF(F14="","",IF(F14&lt;=30,"🔴 Critical",IF(F14&lt;=90,"🟡 Expiring Soon","🟢 Active")))</f>
        <v/>
      </c>
    </row>
    <row r="15">
      <c r="G15" s="17">
        <f>IF(F15="","",IF(F15&lt;=30,"🔴 Critical",IF(F15&lt;=90,"🟡 Expiring Soon","🟢 Active")))</f>
        <v/>
      </c>
    </row>
    <row r="16">
      <c r="G16" s="17">
        <f>IF(F16="","",IF(F16&lt;=30,"🔴 Critical",IF(F16&lt;=90,"🟡 Expiring Soon","🟢 Active")))</f>
        <v/>
      </c>
    </row>
    <row r="17">
      <c r="G17" s="17">
        <f>IF(F17="","",IF(F17&lt;=30,"🔴 Critical",IF(F17&lt;=90,"🟡 Expiring Soon","🟢 Active")))</f>
        <v/>
      </c>
    </row>
    <row r="18">
      <c r="G18" s="17">
        <f>IF(F18="","",IF(F18&lt;=30,"🔴 Critical",IF(F18&lt;=90,"🟡 Expiring Soon","🟢 Active")))</f>
        <v/>
      </c>
    </row>
    <row r="19">
      <c r="G19" s="17">
        <f>IF(F19="","",IF(F19&lt;=30,"🔴 Critical",IF(F19&lt;=90,"🟡 Expiring Soon","🟢 Active")))</f>
        <v/>
      </c>
    </row>
    <row r="20">
      <c r="G20" s="17">
        <f>IF(F20="","",IF(F20&lt;=30,"🔴 Critical",IF(F20&lt;=90,"🟡 Expiring Soon","🟢 Active")))</f>
        <v/>
      </c>
    </row>
    <row r="21">
      <c r="G21" s="17">
        <f>IF(F21="","",IF(F21&lt;=30,"🔴 Critical",IF(F21&lt;=90,"🟡 Expiring Soon","🟢 Active")))</f>
        <v/>
      </c>
    </row>
    <row r="22">
      <c r="G22" s="17">
        <f>IF(F22="","",IF(F22&lt;=30,"🔴 Critical",IF(F22&lt;=90,"🟡 Expiring Soon","🟢 Active")))</f>
        <v/>
      </c>
    </row>
    <row r="23">
      <c r="G23" s="17">
        <f>IF(F23="","",IF(F23&lt;=30,"🔴 Critical",IF(F23&lt;=90,"🟡 Expiring Soon","🟢 Active")))</f>
        <v/>
      </c>
    </row>
    <row r="24">
      <c r="G24" s="17">
        <f>IF(F24="","",IF(F24&lt;=30,"🔴 Critical",IF(F24&lt;=90,"🟡 Expiring Soon","🟢 Active")))</f>
        <v/>
      </c>
    </row>
    <row r="25">
      <c r="G25" s="17">
        <f>IF(F25="","",IF(F25&lt;=30,"🔴 Critical",IF(F25&lt;=90,"🟡 Expiring Soon","🟢 Active")))</f>
        <v/>
      </c>
    </row>
    <row r="26">
      <c r="G26" s="17">
        <f>IF(F26="","",IF(F26&lt;=30,"🔴 Critical",IF(F26&lt;=90,"🟡 Expiring Soon","🟢 Active")))</f>
        <v/>
      </c>
    </row>
    <row r="27">
      <c r="G27" s="17">
        <f>IF(F27="","",IF(F27&lt;=30,"🔴 Critical",IF(F27&lt;=90,"🟡 Expiring Soon","🟢 Active")))</f>
        <v/>
      </c>
    </row>
    <row r="28">
      <c r="G28" s="17">
        <f>IF(F28="","",IF(F28&lt;=30,"🔴 Critical",IF(F28&lt;=90,"🟡 Expiring Soon","🟢 Active")))</f>
        <v/>
      </c>
    </row>
    <row r="29">
      <c r="G29" s="17">
        <f>IF(F29="","",IF(F29&lt;=30,"🔴 Critical",IF(F29&lt;=90,"🟡 Expiring Soon","🟢 Active")))</f>
        <v/>
      </c>
    </row>
    <row r="30">
      <c r="G30" s="17">
        <f>IF(F30="","",IF(F30&lt;=30,"🔴 Critical",IF(F30&lt;=90,"🟡 Expiring Soon","🟢 Active")))</f>
        <v/>
      </c>
    </row>
    <row r="31">
      <c r="G31" s="17">
        <f>IF(F31="","",IF(F31&lt;=30,"🔴 Critical",IF(F31&lt;=90,"🟡 Expiring Soon","🟢 Active")))</f>
        <v/>
      </c>
    </row>
    <row r="32">
      <c r="G32" s="17">
        <f>IF(F32="","",IF(F32&lt;=30,"🔴 Critical",IF(F32&lt;=90,"🟡 Expiring Soon","🟢 Active")))</f>
        <v/>
      </c>
    </row>
    <row r="33">
      <c r="G33" s="17">
        <f>IF(F33="","",IF(F33&lt;=30,"🔴 Critical",IF(F33&lt;=90,"🟡 Expiring Soon","🟢 Active")))</f>
        <v/>
      </c>
    </row>
    <row r="34">
      <c r="G34" s="17">
        <f>IF(F34="","",IF(F34&lt;=30,"🔴 Critical",IF(F34&lt;=90,"🟡 Expiring Soon","🟢 Active")))</f>
        <v/>
      </c>
    </row>
    <row r="35">
      <c r="G35" s="17">
        <f>IF(F35="","",IF(F35&lt;=30,"🔴 Critical",IF(F35&lt;=90,"🟡 Expiring Soon","🟢 Active")))</f>
        <v/>
      </c>
    </row>
    <row r="36">
      <c r="G36" s="17">
        <f>IF(F36="","",IF(F36&lt;=30,"🔴 Critical",IF(F36&lt;=90,"🟡 Expiring Soon","🟢 Active")))</f>
        <v/>
      </c>
    </row>
    <row r="37">
      <c r="G37" s="17">
        <f>IF(F37="","",IF(F37&lt;=30,"🔴 Critical",IF(F37&lt;=90,"🟡 Expiring Soon","🟢 Active")))</f>
        <v/>
      </c>
    </row>
    <row r="38">
      <c r="G38" s="17">
        <f>IF(F38="","",IF(F38&lt;=30,"🔴 Critical",IF(F38&lt;=90,"🟡 Expiring Soon","🟢 Active")))</f>
        <v/>
      </c>
    </row>
    <row r="39">
      <c r="G39" s="17">
        <f>IF(F39="","",IF(F39&lt;=30,"🔴 Critical",IF(F39&lt;=90,"🟡 Expiring Soon","🟢 Active")))</f>
        <v/>
      </c>
    </row>
    <row r="40">
      <c r="G40" s="17">
        <f>IF(F40="","",IF(F40&lt;=30,"🔴 Critical",IF(F40&lt;=90,"🟡 Expiring Soon","🟢 Active")))</f>
        <v/>
      </c>
    </row>
    <row r="41">
      <c r="G41" s="17">
        <f>IF(F41="","",IF(F41&lt;=30,"🔴 Critical",IF(F41&lt;=90,"🟡 Expiring Soon","🟢 Active")))</f>
        <v/>
      </c>
    </row>
    <row r="42">
      <c r="G42" s="17">
        <f>IF(F42="","",IF(F42&lt;=30,"🔴 Critical",IF(F42&lt;=90,"🟡 Expiring Soon","🟢 Active")))</f>
        <v/>
      </c>
    </row>
    <row r="43">
      <c r="G43" s="17">
        <f>IF(F43="","",IF(F43&lt;=30,"🔴 Critical",IF(F43&lt;=90,"🟡 Expiring Soon","🟢 Active")))</f>
        <v/>
      </c>
    </row>
    <row r="44">
      <c r="G44" s="17">
        <f>IF(F44="","",IF(F44&lt;=30,"🔴 Critical",IF(F44&lt;=90,"🟡 Expiring Soon","🟢 Active")))</f>
        <v/>
      </c>
    </row>
    <row r="45">
      <c r="G45" s="17">
        <f>IF(F45="","",IF(F45&lt;=30,"🔴 Critical",IF(F45&lt;=90,"🟡 Expiring Soon","🟢 Active")))</f>
        <v/>
      </c>
    </row>
    <row r="46">
      <c r="G46" s="17">
        <f>IF(F46="","",IF(F46&lt;=30,"🔴 Critical",IF(F46&lt;=90,"🟡 Expiring Soon","🟢 Active")))</f>
        <v/>
      </c>
    </row>
    <row r="47">
      <c r="G47" s="17">
        <f>IF(F47="","",IF(F47&lt;=30,"🔴 Critical",IF(F47&lt;=90,"🟡 Expiring Soon","🟢 Active")))</f>
        <v/>
      </c>
    </row>
    <row r="48">
      <c r="G48" s="17">
        <f>IF(F48="","",IF(F48&lt;=30,"🔴 Critical",IF(F48&lt;=90,"🟡 Expiring Soon","🟢 Active")))</f>
        <v/>
      </c>
    </row>
    <row r="49">
      <c r="G49" s="17">
        <f>IF(F49="","",IF(F49&lt;=30,"🔴 Critical",IF(F49&lt;=90,"🟡 Expiring Soon","🟢 Active")))</f>
        <v/>
      </c>
    </row>
    <row r="50">
      <c r="G50" s="17">
        <f>IF(F50="","",IF(F50&lt;=30,"🔴 Critical",IF(F50&lt;=90,"🟡 Expiring Soon","🟢 Active")))</f>
        <v/>
      </c>
    </row>
    <row r="51">
      <c r="G51" s="17">
        <f>IF(F51="","",IF(F51&lt;=30,"🔴 Critical",IF(F51&lt;=90,"🟡 Expiring Soon","🟢 Active")))</f>
        <v/>
      </c>
    </row>
    <row r="52">
      <c r="G52" s="17">
        <f>IF(F52="","",IF(F52&lt;=30,"🔴 Critical",IF(F52&lt;=90,"🟡 Expiring Soon","🟢 Active")))</f>
        <v/>
      </c>
    </row>
    <row r="53">
      <c r="G53" s="17">
        <f>IF(F53="","",IF(F53&lt;=30,"🔴 Critical",IF(F53&lt;=90,"🟡 Expiring Soon","🟢 Active")))</f>
        <v/>
      </c>
    </row>
    <row r="54">
      <c r="G54" s="17">
        <f>IF(F54="","",IF(F54&lt;=30,"🔴 Critical",IF(F54&lt;=90,"🟡 Expiring Soon","🟢 Active")))</f>
        <v/>
      </c>
    </row>
    <row r="55">
      <c r="G55" s="17">
        <f>IF(F55="","",IF(F55&lt;=30,"🔴 Critical",IF(F55&lt;=90,"🟡 Expiring Soon","🟢 Active")))</f>
        <v/>
      </c>
    </row>
    <row r="56">
      <c r="G56" s="17">
        <f>IF(F56="","",IF(F56&lt;=30,"🔴 Critical",IF(F56&lt;=90,"🟡 Expiring Soon","🟢 Active")))</f>
        <v/>
      </c>
    </row>
    <row r="57">
      <c r="G57" s="17">
        <f>IF(F57="","",IF(F57&lt;=30,"🔴 Critical",IF(F57&lt;=90,"🟡 Expiring Soon","🟢 Active")))</f>
        <v/>
      </c>
    </row>
    <row r="58">
      <c r="G58" s="17">
        <f>IF(F58="","",IF(F58&lt;=30,"🔴 Critical",IF(F58&lt;=90,"🟡 Expiring Soon","🟢 Active")))</f>
        <v/>
      </c>
    </row>
    <row r="59">
      <c r="G59" s="17">
        <f>IF(F59="","",IF(F59&lt;=30,"🔴 Critical",IF(F59&lt;=90,"🟡 Expiring Soon","🟢 Active")))</f>
        <v/>
      </c>
    </row>
    <row r="60">
      <c r="G60" s="17">
        <f>IF(F60="","",IF(F60&lt;=30,"🔴 Critical",IF(F60&lt;=90,"🟡 Expiring Soon","🟢 Active")))</f>
        <v/>
      </c>
    </row>
    <row r="61">
      <c r="G61" s="17">
        <f>IF(F61="","",IF(F61&lt;=30,"🔴 Critical",IF(F61&lt;=90,"🟡 Expiring Soon","🟢 Active")))</f>
        <v/>
      </c>
    </row>
    <row r="62">
      <c r="G62" s="17">
        <f>IF(F62="","",IF(F62&lt;=30,"🔴 Critical",IF(F62&lt;=90,"🟡 Expiring Soon","🟢 Active")))</f>
        <v/>
      </c>
    </row>
    <row r="63">
      <c r="G63" s="17">
        <f>IF(F63="","",IF(F63&lt;=30,"🔴 Critical",IF(F63&lt;=90,"🟡 Expiring Soon","🟢 Active")))</f>
        <v/>
      </c>
    </row>
    <row r="64">
      <c r="G64" s="17">
        <f>IF(F64="","",IF(F64&lt;=30,"🔴 Critical",IF(F64&lt;=90,"🟡 Expiring Soon","🟢 Active")))</f>
        <v/>
      </c>
    </row>
    <row r="65">
      <c r="G65" s="17">
        <f>IF(F65="","",IF(F65&lt;=30,"🔴 Critical",IF(F65&lt;=90,"🟡 Expiring Soon","🟢 Active")))</f>
        <v/>
      </c>
    </row>
    <row r="66">
      <c r="G66" s="17">
        <f>IF(F66="","",IF(F66&lt;=30,"🔴 Critical",IF(F66&lt;=90,"🟡 Expiring Soon","🟢 Active")))</f>
        <v/>
      </c>
    </row>
    <row r="67">
      <c r="G67" s="17">
        <f>IF(F67="","",IF(F67&lt;=30,"🔴 Critical",IF(F67&lt;=90,"🟡 Expiring Soon","🟢 Active")))</f>
        <v/>
      </c>
    </row>
    <row r="68">
      <c r="G68" s="17">
        <f>IF(F68="","",IF(F68&lt;=30,"🔴 Critical",IF(F68&lt;=90,"🟡 Expiring Soon","🟢 Active")))</f>
        <v/>
      </c>
    </row>
    <row r="69">
      <c r="G69" s="17">
        <f>IF(F69="","",IF(F69&lt;=30,"🔴 Critical",IF(F69&lt;=90,"🟡 Expiring Soon","🟢 Active")))</f>
        <v/>
      </c>
    </row>
    <row r="70">
      <c r="G70" s="17">
        <f>IF(F70="","",IF(F70&lt;=30,"🔴 Critical",IF(F70&lt;=90,"🟡 Expiring Soon","🟢 Active")))</f>
        <v/>
      </c>
    </row>
    <row r="71">
      <c r="G71" s="17">
        <f>IF(F71="","",IF(F71&lt;=30,"🔴 Critical",IF(F71&lt;=90,"🟡 Expiring Soon","🟢 Active")))</f>
        <v/>
      </c>
    </row>
    <row r="72">
      <c r="G72" s="17">
        <f>IF(F72="","",IF(F72&lt;=30,"🔴 Critical",IF(F72&lt;=90,"🟡 Expiring Soon","🟢 Active")))</f>
        <v/>
      </c>
    </row>
    <row r="73">
      <c r="G73" s="17">
        <f>IF(F73="","",IF(F73&lt;=30,"🔴 Critical",IF(F73&lt;=90,"🟡 Expiring Soon","🟢 Active")))</f>
        <v/>
      </c>
    </row>
    <row r="74">
      <c r="G74" s="17">
        <f>IF(F74="","",IF(F74&lt;=30,"🔴 Critical",IF(F74&lt;=90,"🟡 Expiring Soon","🟢 Active")))</f>
        <v/>
      </c>
    </row>
    <row r="75">
      <c r="G75" s="17">
        <f>IF(F75="","",IF(F75&lt;=30,"🔴 Critical",IF(F75&lt;=90,"🟡 Expiring Soon","🟢 Active")))</f>
        <v/>
      </c>
    </row>
    <row r="76">
      <c r="G76" s="17">
        <f>IF(F76="","",IF(F76&lt;=30,"🔴 Critical",IF(F76&lt;=90,"🟡 Expiring Soon","🟢 Active")))</f>
        <v/>
      </c>
    </row>
    <row r="77">
      <c r="G77" s="17">
        <f>IF(F77="","",IF(F77&lt;=30,"🔴 Critical",IF(F77&lt;=90,"🟡 Expiring Soon","🟢 Active")))</f>
        <v/>
      </c>
    </row>
    <row r="78">
      <c r="G78" s="17">
        <f>IF(F78="","",IF(F78&lt;=30,"🔴 Critical",IF(F78&lt;=90,"🟡 Expiring Soon","🟢 Active")))</f>
        <v/>
      </c>
    </row>
    <row r="79">
      <c r="G79" s="17">
        <f>IF(F79="","",IF(F79&lt;=30,"🔴 Critical",IF(F79&lt;=90,"🟡 Expiring Soon","🟢 Active")))</f>
        <v/>
      </c>
    </row>
    <row r="80">
      <c r="G80" s="17">
        <f>IF(F80="","",IF(F80&lt;=30,"🔴 Critical",IF(F80&lt;=90,"🟡 Expiring Soon","🟢 Active")))</f>
        <v/>
      </c>
    </row>
    <row r="81">
      <c r="G81" s="17">
        <f>IF(F81="","",IF(F81&lt;=30,"🔴 Critical",IF(F81&lt;=90,"🟡 Expiring Soon","🟢 Active")))</f>
        <v/>
      </c>
    </row>
    <row r="82">
      <c r="G82" s="17">
        <f>IF(F82="","",IF(F82&lt;=30,"🔴 Critical",IF(F82&lt;=90,"🟡 Expiring Soon","🟢 Active")))</f>
        <v/>
      </c>
    </row>
    <row r="83">
      <c r="G83" s="17">
        <f>IF(F83="","",IF(F83&lt;=30,"🔴 Critical",IF(F83&lt;=90,"🟡 Expiring Soon","🟢 Active")))</f>
        <v/>
      </c>
    </row>
    <row r="84">
      <c r="G84" s="17">
        <f>IF(F84="","",IF(F84&lt;=30,"🔴 Critical",IF(F84&lt;=90,"🟡 Expiring Soon","🟢 Active")))</f>
        <v/>
      </c>
    </row>
    <row r="85">
      <c r="G85" s="17">
        <f>IF(F85="","",IF(F85&lt;=30,"🔴 Critical",IF(F85&lt;=90,"🟡 Expiring Soon","🟢 Active")))</f>
        <v/>
      </c>
    </row>
    <row r="86">
      <c r="G86" s="17">
        <f>IF(F86="","",IF(F86&lt;=30,"🔴 Critical",IF(F86&lt;=90,"🟡 Expiring Soon","🟢 Active")))</f>
        <v/>
      </c>
    </row>
    <row r="87">
      <c r="G87" s="17">
        <f>IF(F87="","",IF(F87&lt;=30,"🔴 Critical",IF(F87&lt;=90,"🟡 Expiring Soon","🟢 Active")))</f>
        <v/>
      </c>
    </row>
    <row r="88">
      <c r="G88" s="17">
        <f>IF(F88="","",IF(F88&lt;=30,"🔴 Critical",IF(F88&lt;=90,"🟡 Expiring Soon","🟢 Active")))</f>
        <v/>
      </c>
    </row>
    <row r="89">
      <c r="G89" s="17">
        <f>IF(F89="","",IF(F89&lt;=30,"🔴 Critical",IF(F89&lt;=90,"🟡 Expiring Soon","🟢 Active")))</f>
        <v/>
      </c>
    </row>
    <row r="90">
      <c r="G90" s="17">
        <f>IF(F90="","",IF(F90&lt;=30,"🔴 Critical",IF(F90&lt;=90,"🟡 Expiring Soon","🟢 Active")))</f>
        <v/>
      </c>
    </row>
    <row r="91">
      <c r="G91" s="17">
        <f>IF(F91="","",IF(F91&lt;=30,"🔴 Critical",IF(F91&lt;=90,"🟡 Expiring Soon","🟢 Active")))</f>
        <v/>
      </c>
    </row>
    <row r="92">
      <c r="G92" s="17">
        <f>IF(F92="","",IF(F92&lt;=30,"🔴 Critical",IF(F92&lt;=90,"🟡 Expiring Soon","🟢 Active")))</f>
        <v/>
      </c>
    </row>
    <row r="93">
      <c r="G93" s="17">
        <f>IF(F93="","",IF(F93&lt;=30,"🔴 Critical",IF(F93&lt;=90,"🟡 Expiring Soon","🟢 Active")))</f>
        <v/>
      </c>
    </row>
    <row r="94">
      <c r="G94" s="17">
        <f>IF(F94="","",IF(F94&lt;=30,"🔴 Critical",IF(F94&lt;=90,"🟡 Expiring Soon","🟢 Active")))</f>
        <v/>
      </c>
    </row>
    <row r="95">
      <c r="G95" s="17">
        <f>IF(F95="","",IF(F95&lt;=30,"🔴 Critical",IF(F95&lt;=90,"🟡 Expiring Soon","🟢 Active")))</f>
        <v/>
      </c>
    </row>
    <row r="96">
      <c r="G96" s="17">
        <f>IF(F96="","",IF(F96&lt;=30,"🔴 Critical",IF(F96&lt;=90,"🟡 Expiring Soon","🟢 Active")))</f>
        <v/>
      </c>
    </row>
    <row r="97">
      <c r="G97" s="17">
        <f>IF(F97="","",IF(F97&lt;=30,"🔴 Critical",IF(F97&lt;=90,"🟡 Expiring Soon","🟢 Active")))</f>
        <v/>
      </c>
    </row>
    <row r="98">
      <c r="G98" s="17">
        <f>IF(F98="","",IF(F98&lt;=30,"🔴 Critical",IF(F98&lt;=90,"🟡 Expiring Soon","🟢 Active")))</f>
        <v/>
      </c>
    </row>
    <row r="99">
      <c r="G99" s="17">
        <f>IF(F99="","",IF(F99&lt;=30,"🔴 Critical",IF(F99&lt;=90,"🟡 Expiring Soon","🟢 Active")))</f>
        <v/>
      </c>
    </row>
    <row r="100">
      <c r="G100" s="17">
        <f>IF(F100="","",IF(F100&lt;=30,"🔴 Critical",IF(F100&lt;=90,"🟡 Expiring Soon","🟢 Active")))</f>
        <v/>
      </c>
    </row>
    <row r="101">
      <c r="G101" s="17">
        <f>IF(F101="","",IF(F101&lt;=30,"🔴 Critical",IF(F101&lt;=90,"🟡 Expiring Soon","🟢 Active")))</f>
        <v/>
      </c>
    </row>
    <row r="102">
      <c r="G102" s="17">
        <f>IF(F102="","",IF(F102&lt;=30,"🔴 Critical",IF(F102&lt;=90,"🟡 Expiring Soon","🟢 Active")))</f>
        <v/>
      </c>
    </row>
    <row r="103">
      <c r="G103" s="17">
        <f>IF(F103="","",IF(F103&lt;=30,"🔴 Critical",IF(F103&lt;=90,"🟡 Expiring Soon","🟢 Active")))</f>
        <v/>
      </c>
    </row>
    <row r="104">
      <c r="G104" s="17">
        <f>IF(F104="","",IF(F104&lt;=30,"🔴 Critical",IF(F104&lt;=90,"🟡 Expiring Soon","🟢 Active")))</f>
        <v/>
      </c>
    </row>
    <row r="105">
      <c r="G105" s="17">
        <f>IF(F105="","",IF(F105&lt;=30,"🔴 Critical",IF(F105&lt;=90,"🟡 Expiring Soon","🟢 Active")))</f>
        <v/>
      </c>
    </row>
    <row r="106">
      <c r="G106" s="17">
        <f>IF(F106="","",IF(F106&lt;=30,"🔴 Critical",IF(F106&lt;=90,"🟡 Expiring Soon","🟢 Active")))</f>
        <v/>
      </c>
    </row>
    <row r="107">
      <c r="G107" s="17">
        <f>IF(F107="","",IF(F107&lt;=30,"🔴 Critical",IF(F107&lt;=90,"🟡 Expiring Soon","🟢 Active")))</f>
        <v/>
      </c>
    </row>
    <row r="108">
      <c r="G108" s="17">
        <f>IF(F108="","",IF(F108&lt;=30,"🔴 Critical",IF(F108&lt;=90,"🟡 Expiring Soon","🟢 Active")))</f>
        <v/>
      </c>
    </row>
    <row r="109">
      <c r="G109" s="17">
        <f>IF(F109="","",IF(F109&lt;=30,"🔴 Critical",IF(F109&lt;=90,"🟡 Expiring Soon","🟢 Active")))</f>
        <v/>
      </c>
    </row>
    <row r="110">
      <c r="G110" s="17">
        <f>IF(F110="","",IF(F110&lt;=30,"🔴 Critical",IF(F110&lt;=90,"🟡 Expiring Soon","🟢 Active")))</f>
        <v/>
      </c>
    </row>
    <row r="111">
      <c r="G111" s="17">
        <f>IF(F111="","",IF(F111&lt;=30,"🔴 Critical",IF(F111&lt;=90,"🟡 Expiring Soon","🟢 Active")))</f>
        <v/>
      </c>
    </row>
    <row r="112">
      <c r="G112" s="17">
        <f>IF(F112="","",IF(F112&lt;=30,"🔴 Critical",IF(F112&lt;=90,"🟡 Expiring Soon","🟢 Active")))</f>
        <v/>
      </c>
    </row>
    <row r="113">
      <c r="G113" s="17">
        <f>IF(F113="","",IF(F113&lt;=30,"🔴 Critical",IF(F113&lt;=90,"🟡 Expiring Soon","🟢 Active")))</f>
        <v/>
      </c>
    </row>
    <row r="114">
      <c r="G114" s="17">
        <f>IF(F114="","",IF(F114&lt;=30,"🔴 Critical",IF(F114&lt;=90,"🟡 Expiring Soon","🟢 Active")))</f>
        <v/>
      </c>
    </row>
    <row r="115">
      <c r="G115" s="17">
        <f>IF(F115="","",IF(F115&lt;=30,"🔴 Critical",IF(F115&lt;=90,"🟡 Expiring Soon","🟢 Active")))</f>
        <v/>
      </c>
    </row>
    <row r="116">
      <c r="G116" s="17">
        <f>IF(F116="","",IF(F116&lt;=30,"🔴 Critical",IF(F116&lt;=90,"🟡 Expiring Soon","🟢 Active")))</f>
        <v/>
      </c>
    </row>
    <row r="117">
      <c r="G117" s="17">
        <f>IF(F117="","",IF(F117&lt;=30,"🔴 Critical",IF(F117&lt;=90,"🟡 Expiring Soon","🟢 Active")))</f>
        <v/>
      </c>
    </row>
    <row r="118">
      <c r="G118" s="17">
        <f>IF(F118="","",IF(F118&lt;=30,"🔴 Critical",IF(F118&lt;=90,"🟡 Expiring Soon","🟢 Active")))</f>
        <v/>
      </c>
    </row>
    <row r="119">
      <c r="G119" s="17">
        <f>IF(F119="","",IF(F119&lt;=30,"🔴 Critical",IF(F119&lt;=90,"🟡 Expiring Soon","🟢 Active")))</f>
        <v/>
      </c>
    </row>
    <row r="120">
      <c r="G120" s="17">
        <f>IF(F120="","",IF(F120&lt;=30,"🔴 Critical",IF(F120&lt;=90,"🟡 Expiring Soon","🟢 Active")))</f>
        <v/>
      </c>
    </row>
    <row r="121">
      <c r="G121" s="17">
        <f>IF(F121="","",IF(F121&lt;=30,"🔴 Critical",IF(F121&lt;=90,"🟡 Expiring Soon","🟢 Active")))</f>
        <v/>
      </c>
    </row>
    <row r="122">
      <c r="G122" s="17">
        <f>IF(F122="","",IF(F122&lt;=30,"🔴 Critical",IF(F122&lt;=90,"🟡 Expiring Soon","🟢 Active")))</f>
        <v/>
      </c>
    </row>
    <row r="123">
      <c r="G123" s="17">
        <f>IF(F123="","",IF(F123&lt;=30,"🔴 Critical",IF(F123&lt;=90,"🟡 Expiring Soon","🟢 Active")))</f>
        <v/>
      </c>
    </row>
    <row r="124">
      <c r="G124" s="17">
        <f>IF(F124="","",IF(F124&lt;=30,"🔴 Critical",IF(F124&lt;=90,"🟡 Expiring Soon","🟢 Active")))</f>
        <v/>
      </c>
    </row>
    <row r="125">
      <c r="G125" s="17">
        <f>IF(F125="","",IF(F125&lt;=30,"🔴 Critical",IF(F125&lt;=90,"🟡 Expiring Soon","🟢 Active")))</f>
        <v/>
      </c>
    </row>
    <row r="126">
      <c r="G126" s="17">
        <f>IF(F126="","",IF(F126&lt;=30,"🔴 Critical",IF(F126&lt;=90,"🟡 Expiring Soon","🟢 Active")))</f>
        <v/>
      </c>
    </row>
    <row r="127">
      <c r="G127" s="17">
        <f>IF(F127="","",IF(F127&lt;=30,"🔴 Critical",IF(F127&lt;=90,"🟡 Expiring Soon","🟢 Active")))</f>
        <v/>
      </c>
    </row>
    <row r="128">
      <c r="G128" s="17">
        <f>IF(F128="","",IF(F128&lt;=30,"🔴 Critical",IF(F128&lt;=90,"🟡 Expiring Soon","🟢 Active")))</f>
        <v/>
      </c>
    </row>
    <row r="129">
      <c r="G129" s="17">
        <f>IF(F129="","",IF(F129&lt;=30,"🔴 Critical",IF(F129&lt;=90,"🟡 Expiring Soon","🟢 Active")))</f>
        <v/>
      </c>
    </row>
    <row r="130">
      <c r="G130" s="17">
        <f>IF(F130="","",IF(F130&lt;=30,"🔴 Critical",IF(F130&lt;=90,"🟡 Expiring Soon","🟢 Active")))</f>
        <v/>
      </c>
    </row>
    <row r="131">
      <c r="G131" s="17">
        <f>IF(F131="","",IF(F131&lt;=30,"🔴 Critical",IF(F131&lt;=90,"🟡 Expiring Soon","🟢 Active")))</f>
        <v/>
      </c>
    </row>
    <row r="132">
      <c r="G132" s="17">
        <f>IF(F132="","",IF(F132&lt;=30,"🔴 Critical",IF(F132&lt;=90,"🟡 Expiring Soon","🟢 Active")))</f>
        <v/>
      </c>
    </row>
    <row r="133">
      <c r="G133" s="17">
        <f>IF(F133="","",IF(F133&lt;=30,"🔴 Critical",IF(F133&lt;=90,"🟡 Expiring Soon","🟢 Active")))</f>
        <v/>
      </c>
    </row>
    <row r="134">
      <c r="G134" s="17">
        <f>IF(F134="","",IF(F134&lt;=30,"🔴 Critical",IF(F134&lt;=90,"🟡 Expiring Soon","🟢 Active")))</f>
        <v/>
      </c>
    </row>
    <row r="135">
      <c r="G135" s="17">
        <f>IF(F135="","",IF(F135&lt;=30,"🔴 Critical",IF(F135&lt;=90,"🟡 Expiring Soon","🟢 Active")))</f>
        <v/>
      </c>
    </row>
    <row r="136">
      <c r="G136" s="17">
        <f>IF(F136="","",IF(F136&lt;=30,"🔴 Critical",IF(F136&lt;=90,"🟡 Expiring Soon","🟢 Active")))</f>
        <v/>
      </c>
    </row>
    <row r="137">
      <c r="G137" s="17">
        <f>IF(F137="","",IF(F137&lt;=30,"🔴 Critical",IF(F137&lt;=90,"🟡 Expiring Soon","🟢 Active")))</f>
        <v/>
      </c>
    </row>
    <row r="138">
      <c r="G138" s="17">
        <f>IF(F138="","",IF(F138&lt;=30,"🔴 Critical",IF(F138&lt;=90,"🟡 Expiring Soon","🟢 Active")))</f>
        <v/>
      </c>
    </row>
    <row r="139">
      <c r="G139" s="17">
        <f>IF(F139="","",IF(F139&lt;=30,"🔴 Critical",IF(F139&lt;=90,"🟡 Expiring Soon","🟢 Active")))</f>
        <v/>
      </c>
    </row>
    <row r="140">
      <c r="G140" s="17">
        <f>IF(F140="","",IF(F140&lt;=30,"🔴 Critical",IF(F140&lt;=90,"🟡 Expiring Soon","🟢 Active")))</f>
        <v/>
      </c>
    </row>
    <row r="141">
      <c r="G141" s="17">
        <f>IF(F141="","",IF(F141&lt;=30,"🔴 Critical",IF(F141&lt;=90,"🟡 Expiring Soon","🟢 Active")))</f>
        <v/>
      </c>
    </row>
    <row r="142">
      <c r="G142" s="17">
        <f>IF(F142="","",IF(F142&lt;=30,"🔴 Critical",IF(F142&lt;=90,"🟡 Expiring Soon","🟢 Active")))</f>
        <v/>
      </c>
    </row>
    <row r="143">
      <c r="G143" s="17">
        <f>IF(F143="","",IF(F143&lt;=30,"🔴 Critical",IF(F143&lt;=90,"🟡 Expiring Soon","🟢 Active")))</f>
        <v/>
      </c>
    </row>
    <row r="144">
      <c r="G144" s="17">
        <f>IF(F144="","",IF(F144&lt;=30,"🔴 Critical",IF(F144&lt;=90,"🟡 Expiring Soon","🟢 Active")))</f>
        <v/>
      </c>
    </row>
    <row r="145">
      <c r="G145" s="17">
        <f>IF(F145="","",IF(F145&lt;=30,"🔴 Critical",IF(F145&lt;=90,"🟡 Expiring Soon","🟢 Active")))</f>
        <v/>
      </c>
    </row>
    <row r="146">
      <c r="G146" s="17">
        <f>IF(F146="","",IF(F146&lt;=30,"🔴 Critical",IF(F146&lt;=90,"🟡 Expiring Soon","🟢 Active")))</f>
        <v/>
      </c>
    </row>
    <row r="147">
      <c r="G147" s="17">
        <f>IF(F147="","",IF(F147&lt;=30,"🔴 Critical",IF(F147&lt;=90,"🟡 Expiring Soon","🟢 Active")))</f>
        <v/>
      </c>
    </row>
    <row r="148">
      <c r="G148" s="17">
        <f>IF(F148="","",IF(F148&lt;=30,"🔴 Critical",IF(F148&lt;=90,"🟡 Expiring Soon","🟢 Active")))</f>
        <v/>
      </c>
    </row>
    <row r="149">
      <c r="G149" s="17">
        <f>IF(F149="","",IF(F149&lt;=30,"🔴 Critical",IF(F149&lt;=90,"🟡 Expiring Soon","🟢 Active")))</f>
        <v/>
      </c>
    </row>
    <row r="150">
      <c r="G150" s="17">
        <f>IF(F150="","",IF(F150&lt;=30,"🔴 Critical",IF(F150&lt;=90,"🟡 Expiring Soon","🟢 Active")))</f>
        <v/>
      </c>
    </row>
    <row r="151">
      <c r="G151" s="17">
        <f>IF(F151="","",IF(F151&lt;=30,"🔴 Critical",IF(F151&lt;=90,"🟡 Expiring Soon","🟢 Active")))</f>
        <v/>
      </c>
    </row>
    <row r="152">
      <c r="G152" s="17">
        <f>IF(F152="","",IF(F152&lt;=30,"🔴 Critical",IF(F152&lt;=90,"🟡 Expiring Soon","🟢 Active")))</f>
        <v/>
      </c>
    </row>
    <row r="153">
      <c r="G153" s="17">
        <f>IF(F153="","",IF(F153&lt;=30,"🔴 Critical",IF(F153&lt;=90,"🟡 Expiring Soon","🟢 Active")))</f>
        <v/>
      </c>
    </row>
    <row r="154">
      <c r="G154" s="17">
        <f>IF(F154="","",IF(F154&lt;=30,"🔴 Critical",IF(F154&lt;=90,"🟡 Expiring Soon","🟢 Active")))</f>
        <v/>
      </c>
    </row>
    <row r="155">
      <c r="G155" s="17">
        <f>IF(F155="","",IF(F155&lt;=30,"🔴 Critical",IF(F155&lt;=90,"🟡 Expiring Soon","🟢 Active")))</f>
        <v/>
      </c>
    </row>
    <row r="156">
      <c r="G156" s="17">
        <f>IF(F156="","",IF(F156&lt;=30,"🔴 Critical",IF(F156&lt;=90,"🟡 Expiring Soon","🟢 Active")))</f>
        <v/>
      </c>
    </row>
    <row r="157">
      <c r="G157" s="17">
        <f>IF(F157="","",IF(F157&lt;=30,"🔴 Critical",IF(F157&lt;=90,"🟡 Expiring Soon","🟢 Active")))</f>
        <v/>
      </c>
    </row>
    <row r="158">
      <c r="G158" s="17">
        <f>IF(F158="","",IF(F158&lt;=30,"🔴 Critical",IF(F158&lt;=90,"🟡 Expiring Soon","🟢 Active")))</f>
        <v/>
      </c>
    </row>
    <row r="159">
      <c r="G159" s="17">
        <f>IF(F159="","",IF(F159&lt;=30,"🔴 Critical",IF(F159&lt;=90,"🟡 Expiring Soon","🟢 Active")))</f>
        <v/>
      </c>
    </row>
    <row r="160">
      <c r="G160" s="17">
        <f>IF(F160="","",IF(F160&lt;=30,"🔴 Critical",IF(F160&lt;=90,"🟡 Expiring Soon","🟢 Active")))</f>
        <v/>
      </c>
    </row>
    <row r="161">
      <c r="G161" s="17">
        <f>IF(F161="","",IF(F161&lt;=30,"🔴 Critical",IF(F161&lt;=90,"🟡 Expiring Soon","🟢 Active")))</f>
        <v/>
      </c>
    </row>
    <row r="162">
      <c r="G162" s="17">
        <f>IF(F162="","",IF(F162&lt;=30,"🔴 Critical",IF(F162&lt;=90,"🟡 Expiring Soon","🟢 Active")))</f>
        <v/>
      </c>
    </row>
    <row r="163">
      <c r="G163" s="17">
        <f>IF(F163="","",IF(F163&lt;=30,"🔴 Critical",IF(F163&lt;=90,"🟡 Expiring Soon","🟢 Active")))</f>
        <v/>
      </c>
    </row>
    <row r="164">
      <c r="G164" s="17">
        <f>IF(F164="","",IF(F164&lt;=30,"🔴 Critical",IF(F164&lt;=90,"🟡 Expiring Soon","🟢 Active")))</f>
        <v/>
      </c>
    </row>
    <row r="165">
      <c r="G165" s="17">
        <f>IF(F165="","",IF(F165&lt;=30,"🔴 Critical",IF(F165&lt;=90,"🟡 Expiring Soon","🟢 Active")))</f>
        <v/>
      </c>
    </row>
    <row r="166">
      <c r="G166" s="17">
        <f>IF(F166="","",IF(F166&lt;=30,"🔴 Critical",IF(F166&lt;=90,"🟡 Expiring Soon","🟢 Active")))</f>
        <v/>
      </c>
    </row>
    <row r="167">
      <c r="G167" s="17">
        <f>IF(F167="","",IF(F167&lt;=30,"🔴 Critical",IF(F167&lt;=90,"🟡 Expiring Soon","🟢 Active")))</f>
        <v/>
      </c>
    </row>
    <row r="168">
      <c r="G168" s="17">
        <f>IF(F168="","",IF(F168&lt;=30,"🔴 Critical",IF(F168&lt;=90,"🟡 Expiring Soon","🟢 Active")))</f>
        <v/>
      </c>
    </row>
    <row r="169">
      <c r="G169" s="17">
        <f>IF(F169="","",IF(F169&lt;=30,"🔴 Critical",IF(F169&lt;=90,"🟡 Expiring Soon","🟢 Active")))</f>
        <v/>
      </c>
    </row>
    <row r="170">
      <c r="G170" s="17">
        <f>IF(F170="","",IF(F170&lt;=30,"🔴 Critical",IF(F170&lt;=90,"🟡 Expiring Soon","🟢 Active")))</f>
        <v/>
      </c>
    </row>
    <row r="171">
      <c r="G171" s="17">
        <f>IF(F171="","",IF(F171&lt;=30,"🔴 Critical",IF(F171&lt;=90,"🟡 Expiring Soon","🟢 Active")))</f>
        <v/>
      </c>
    </row>
    <row r="172">
      <c r="G172" s="17">
        <f>IF(F172="","",IF(F172&lt;=30,"🔴 Critical",IF(F172&lt;=90,"🟡 Expiring Soon","🟢 Active")))</f>
        <v/>
      </c>
    </row>
    <row r="173">
      <c r="G173" s="17">
        <f>IF(F173="","",IF(F173&lt;=30,"🔴 Critical",IF(F173&lt;=90,"🟡 Expiring Soon","🟢 Active")))</f>
        <v/>
      </c>
    </row>
    <row r="174">
      <c r="G174" s="17">
        <f>IF(F174="","",IF(F174&lt;=30,"🔴 Critical",IF(F174&lt;=90,"🟡 Expiring Soon","🟢 Active")))</f>
        <v/>
      </c>
    </row>
    <row r="175">
      <c r="G175" s="17">
        <f>IF(F175="","",IF(F175&lt;=30,"🔴 Critical",IF(F175&lt;=90,"🟡 Expiring Soon","🟢 Active")))</f>
        <v/>
      </c>
    </row>
    <row r="176">
      <c r="G176" s="17">
        <f>IF(F176="","",IF(F176&lt;=30,"🔴 Critical",IF(F176&lt;=90,"🟡 Expiring Soon","🟢 Active")))</f>
        <v/>
      </c>
    </row>
    <row r="177">
      <c r="G177" s="17">
        <f>IF(F177="","",IF(F177&lt;=30,"🔴 Critical",IF(F177&lt;=90,"🟡 Expiring Soon","🟢 Active")))</f>
        <v/>
      </c>
    </row>
    <row r="178">
      <c r="G178" s="17">
        <f>IF(F178="","",IF(F178&lt;=30,"🔴 Critical",IF(F178&lt;=90,"🟡 Expiring Soon","🟢 Active")))</f>
        <v/>
      </c>
    </row>
    <row r="179">
      <c r="G179" s="17">
        <f>IF(F179="","",IF(F179&lt;=30,"🔴 Critical",IF(F179&lt;=90,"🟡 Expiring Soon","🟢 Active")))</f>
        <v/>
      </c>
    </row>
    <row r="180">
      <c r="G180" s="17">
        <f>IF(F180="","",IF(F180&lt;=30,"🔴 Critical",IF(F180&lt;=90,"🟡 Expiring Soon","🟢 Active")))</f>
        <v/>
      </c>
    </row>
    <row r="181">
      <c r="G181" s="17">
        <f>IF(F181="","",IF(F181&lt;=30,"🔴 Critical",IF(F181&lt;=90,"🟡 Expiring Soon","🟢 Active")))</f>
        <v/>
      </c>
    </row>
    <row r="182">
      <c r="G182" s="17">
        <f>IF(F182="","",IF(F182&lt;=30,"🔴 Critical",IF(F182&lt;=90,"🟡 Expiring Soon","🟢 Active")))</f>
        <v/>
      </c>
    </row>
    <row r="183">
      <c r="G183" s="17">
        <f>IF(F183="","",IF(F183&lt;=30,"🔴 Critical",IF(F183&lt;=90,"🟡 Expiring Soon","🟢 Active")))</f>
        <v/>
      </c>
    </row>
    <row r="184">
      <c r="G184" s="17">
        <f>IF(F184="","",IF(F184&lt;=30,"🔴 Critical",IF(F184&lt;=90,"🟡 Expiring Soon","🟢 Active")))</f>
        <v/>
      </c>
    </row>
    <row r="185">
      <c r="G185" s="17">
        <f>IF(F185="","",IF(F185&lt;=30,"🔴 Critical",IF(F185&lt;=90,"🟡 Expiring Soon","🟢 Active")))</f>
        <v/>
      </c>
    </row>
    <row r="186">
      <c r="G186" s="17">
        <f>IF(F186="","",IF(F186&lt;=30,"🔴 Critical",IF(F186&lt;=90,"🟡 Expiring Soon","🟢 Active")))</f>
        <v/>
      </c>
    </row>
    <row r="187">
      <c r="G187" s="17">
        <f>IF(F187="","",IF(F187&lt;=30,"🔴 Critical",IF(F187&lt;=90,"🟡 Expiring Soon","🟢 Active")))</f>
        <v/>
      </c>
    </row>
    <row r="188">
      <c r="G188" s="17">
        <f>IF(F188="","",IF(F188&lt;=30,"🔴 Critical",IF(F188&lt;=90,"🟡 Expiring Soon","🟢 Active")))</f>
        <v/>
      </c>
    </row>
    <row r="189">
      <c r="G189" s="17">
        <f>IF(F189="","",IF(F189&lt;=30,"🔴 Critical",IF(F189&lt;=90,"🟡 Expiring Soon","🟢 Active")))</f>
        <v/>
      </c>
    </row>
    <row r="190">
      <c r="G190" s="17">
        <f>IF(F190="","",IF(F190&lt;=30,"🔴 Critical",IF(F190&lt;=90,"🟡 Expiring Soon","🟢 Active")))</f>
        <v/>
      </c>
    </row>
    <row r="191">
      <c r="G191" s="17">
        <f>IF(F191="","",IF(F191&lt;=30,"🔴 Critical",IF(F191&lt;=90,"🟡 Expiring Soon","🟢 Active")))</f>
        <v/>
      </c>
    </row>
    <row r="192">
      <c r="G192" s="17">
        <f>IF(F192="","",IF(F192&lt;=30,"🔴 Critical",IF(F192&lt;=90,"🟡 Expiring Soon","🟢 Active")))</f>
        <v/>
      </c>
    </row>
    <row r="193">
      <c r="G193" s="17">
        <f>IF(F193="","",IF(F193&lt;=30,"🔴 Critical",IF(F193&lt;=90,"🟡 Expiring Soon","🟢 Active")))</f>
        <v/>
      </c>
    </row>
    <row r="194">
      <c r="G194" s="17">
        <f>IF(F194="","",IF(F194&lt;=30,"🔴 Critical",IF(F194&lt;=90,"🟡 Expiring Soon","🟢 Active")))</f>
        <v/>
      </c>
    </row>
    <row r="195">
      <c r="G195" s="17">
        <f>IF(F195="","",IF(F195&lt;=30,"🔴 Critical",IF(F195&lt;=90,"🟡 Expiring Soon","🟢 Active")))</f>
        <v/>
      </c>
    </row>
    <row r="196">
      <c r="G196" s="17">
        <f>IF(F196="","",IF(F196&lt;=30,"🔴 Critical",IF(F196&lt;=90,"🟡 Expiring Soon","🟢 Active")))</f>
        <v/>
      </c>
    </row>
    <row r="197">
      <c r="G197" s="17">
        <f>IF(F197="","",IF(F197&lt;=30,"🔴 Critical",IF(F197&lt;=90,"🟡 Expiring Soon","🟢 Active")))</f>
        <v/>
      </c>
    </row>
    <row r="198">
      <c r="G198" s="17">
        <f>IF(F198="","",IF(F198&lt;=30,"🔴 Critical",IF(F198&lt;=90,"🟡 Expiring Soon","🟢 Active")))</f>
        <v/>
      </c>
    </row>
    <row r="199">
      <c r="G199" s="17">
        <f>IF(F199="","",IF(F199&lt;=30,"🔴 Critical",IF(F199&lt;=90,"🟡 Expiring Soon","🟢 Active")))</f>
        <v/>
      </c>
    </row>
    <row r="200">
      <c r="G200" s="17">
        <f>IF(F200="","",IF(F200&lt;=30,"🔴 Critical",IF(F200&lt;=90,"🟡 Expiring Soon","🟢 Active")))</f>
        <v/>
      </c>
    </row>
    <row r="201">
      <c r="G201" s="17">
        <f>IF(F201="","",IF(F201&lt;=30,"🔴 Critical",IF(F201&lt;=90,"🟡 Expiring Soon","🟢 Active")))</f>
        <v/>
      </c>
    </row>
    <row r="202">
      <c r="G202" s="17">
        <f>IF(F202="","",IF(F202&lt;=30,"🔴 Critical",IF(F202&lt;=90,"🟡 Expiring Soon","🟢 Active")))</f>
        <v/>
      </c>
    </row>
  </sheetData>
  <mergeCells count="1">
    <mergeCell ref="A1:L1"/>
  </mergeCells>
  <conditionalFormatting sqref="F3:F200">
    <cfRule type="colorScale" priority="1">
      <colorScale>
        <cfvo type="num" val="0"/>
        <cfvo type="num" val="60"/>
        <cfvo type="num" val="365"/>
        <color rgb="00FF0000"/>
        <color rgb="00FFC000"/>
        <color rgb="0070AD47"/>
      </colorScale>
    </cfRule>
  </conditionalFormatting>
  <dataValidations count="1">
    <dataValidation sqref="H3:H200" showDropDown="0" showInputMessage="0" showErrorMessage="0" allowBlank="0" type="list">
      <formula1>"Yes,No,Manual"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3" customWidth="1" min="11" max="11"/>
    <col width="22" customWidth="1" min="12" max="12"/>
    <col width="30" customWidth="1" min="13" max="13"/>
  </cols>
  <sheetData>
    <row r="1" ht="36" customHeight="1">
      <c r="A1" s="7" t="inlineStr">
        <is>
          <t>🖥️  GrahVarta — Hosting Resource Tracker</t>
        </is>
      </c>
    </row>
    <row r="2" ht="30" customHeight="1">
      <c r="A2" s="8" t="inlineStr">
        <is>
          <t>S.No</t>
        </is>
      </c>
      <c r="B2" s="8" t="inlineStr">
        <is>
          <t>Service Name</t>
        </is>
      </c>
      <c r="C2" s="8" t="inlineStr">
        <is>
          <t>Provider</t>
        </is>
      </c>
      <c r="D2" s="8" t="inlineStr">
        <is>
          <t>Type</t>
        </is>
      </c>
      <c r="E2" s="8" t="inlineStr">
        <is>
          <t>Region</t>
        </is>
      </c>
      <c r="F2" s="8" t="inlineStr">
        <is>
          <t>Purchase Date</t>
        </is>
      </c>
      <c r="G2" s="8" t="inlineStr">
        <is>
          <t>Expiry Date</t>
        </is>
      </c>
      <c r="H2" s="8" t="inlineStr">
        <is>
          <t>Days Remaining</t>
        </is>
      </c>
      <c r="I2" s="8" t="inlineStr">
        <is>
          <t>Status</t>
        </is>
      </c>
      <c r="J2" s="8" t="inlineStr">
        <is>
          <t>Monthly Cost</t>
        </is>
      </c>
      <c r="K2" s="8" t="inlineStr">
        <is>
          <t>Auto-Renew</t>
        </is>
      </c>
      <c r="L2" s="8" t="inlineStr">
        <is>
          <t>Linked Domain</t>
        </is>
      </c>
      <c r="M2" s="8" t="inlineStr">
        <is>
          <t>Notes</t>
        </is>
      </c>
    </row>
    <row r="3" ht="22" customHeight="1">
      <c r="A3" s="9" t="n">
        <v>1</v>
      </c>
      <c r="B3" s="10" t="inlineStr">
        <is>
          <t>AWS EC2 – Main</t>
        </is>
      </c>
      <c r="C3" s="10" t="inlineStr">
        <is>
          <t>AWS</t>
        </is>
      </c>
      <c r="D3" s="10" t="inlineStr">
        <is>
          <t>VPS / EC2</t>
        </is>
      </c>
      <c r="E3" s="10" t="inlineStr">
        <is>
          <t>ap-south-1</t>
        </is>
      </c>
      <c r="F3" s="11" t="n">
        <v>45658</v>
      </c>
      <c r="G3" s="11" t="n">
        <v>46023</v>
      </c>
      <c r="H3" s="12">
        <f>G3-TODAY()</f>
        <v/>
      </c>
      <c r="I3" s="9">
        <f>IF(G3="","",IF(G3&gt;TODAY()+3650,"🔵 Permanent",IF(H3&lt;=30,"🔴 Critical",IF(H3&lt;=90,"🟡 Expiring Soon","🟢 Active"))))</f>
        <v/>
      </c>
      <c r="J3" s="18" t="n">
        <v>45</v>
      </c>
      <c r="K3" s="9" t="inlineStr">
        <is>
          <t>Yes</t>
        </is>
      </c>
      <c r="L3" s="10" t="inlineStr">
        <is>
          <t>grahvarta.com</t>
        </is>
      </c>
      <c r="M3" s="10" t="inlineStr">
        <is>
          <t>t3.medium instance</t>
        </is>
      </c>
    </row>
    <row r="4" ht="22" customHeight="1">
      <c r="A4" s="13" t="n">
        <v>2</v>
      </c>
      <c r="B4" s="14" t="inlineStr">
        <is>
          <t>Firebase Hosting</t>
        </is>
      </c>
      <c r="C4" s="14" t="inlineStr">
        <is>
          <t>Google</t>
        </is>
      </c>
      <c r="D4" s="14" t="inlineStr">
        <is>
          <t>Static / CDN</t>
        </is>
      </c>
      <c r="E4" s="14" t="inlineStr">
        <is>
          <t>Global</t>
        </is>
      </c>
      <c r="F4" s="15" t="n">
        <v>45458</v>
      </c>
      <c r="G4" s="15" t="n">
        <v>46188</v>
      </c>
      <c r="H4" s="16">
        <f>G4-TODAY()</f>
        <v/>
      </c>
      <c r="I4" s="13">
        <f>IF(G4="","",IF(G4&gt;TODAY()+3650,"🔵 Permanent",IF(H4&lt;=30,"🔴 Critical",IF(H4&lt;=90,"🟡 Expiring Soon","🟢 Active"))))</f>
        <v/>
      </c>
      <c r="J4" s="19" t="n">
        <v>0</v>
      </c>
      <c r="K4" s="13" t="inlineStr">
        <is>
          <t>Yes</t>
        </is>
      </c>
      <c r="L4" s="14" t="inlineStr">
        <is>
          <t>grahvarta.app</t>
        </is>
      </c>
      <c r="M4" s="14" t="inlineStr">
        <is>
          <t>Free tier</t>
        </is>
      </c>
    </row>
    <row r="5" ht="22" customHeight="1">
      <c r="A5" s="9" t="n">
        <v>3</v>
      </c>
      <c r="B5" s="10" t="inlineStr">
        <is>
          <t>AWS RDS – Postgres</t>
        </is>
      </c>
      <c r="C5" s="10" t="inlineStr">
        <is>
          <t>AWS</t>
        </is>
      </c>
      <c r="D5" s="10" t="inlineStr">
        <is>
          <t>Managed Database</t>
        </is>
      </c>
      <c r="E5" s="10" t="inlineStr">
        <is>
          <t>ap-south-1</t>
        </is>
      </c>
      <c r="F5" s="11" t="n">
        <v>45658</v>
      </c>
      <c r="G5" s="11" t="n">
        <v>46023</v>
      </c>
      <c r="H5" s="12">
        <f>G5-TODAY()</f>
        <v/>
      </c>
      <c r="I5" s="9">
        <f>IF(G5="","",IF(G5&gt;TODAY()+3650,"🔵 Permanent",IF(H5&lt;=30,"🔴 Critical",IF(H5&lt;=90,"🟡 Expiring Soon","🟢 Active"))))</f>
        <v/>
      </c>
      <c r="J5" s="18" t="n">
        <v>35</v>
      </c>
      <c r="K5" s="9" t="inlineStr">
        <is>
          <t>Yes</t>
        </is>
      </c>
      <c r="L5" s="10" t="inlineStr">
        <is>
          <t>grahvarta.com</t>
        </is>
      </c>
      <c r="M5" s="10" t="inlineStr">
        <is>
          <t>db.t3.micro</t>
        </is>
      </c>
    </row>
    <row r="6" ht="22" customHeight="1">
      <c r="A6" s="13" t="n">
        <v>4</v>
      </c>
      <c r="B6" s="14" t="inlineStr">
        <is>
          <t>Cloudflare Pro</t>
        </is>
      </c>
      <c r="C6" s="14" t="inlineStr">
        <is>
          <t>Cloudflare</t>
        </is>
      </c>
      <c r="D6" s="14" t="inlineStr">
        <is>
          <t>CDN / Security</t>
        </is>
      </c>
      <c r="E6" s="14" t="inlineStr">
        <is>
          <t>Global</t>
        </is>
      </c>
      <c r="F6" s="15" t="n">
        <v>45717</v>
      </c>
      <c r="G6" s="15" t="n">
        <v>46082</v>
      </c>
      <c r="H6" s="16">
        <f>G6-TODAY()</f>
        <v/>
      </c>
      <c r="I6" s="13">
        <f>IF(G6="","",IF(G6&gt;TODAY()+3650,"🔵 Permanent",IF(H6&lt;=30,"🔴 Critical",IF(H6&lt;=90,"🟡 Expiring Soon","🟢 Active"))))</f>
        <v/>
      </c>
      <c r="J6" s="19" t="n">
        <v>20</v>
      </c>
      <c r="K6" s="13" t="inlineStr">
        <is>
          <t>Yes</t>
        </is>
      </c>
      <c r="L6" s="14" t="inlineStr">
        <is>
          <t>All domains</t>
        </is>
      </c>
      <c r="M6" s="14" t="inlineStr"/>
    </row>
    <row r="7" ht="22" customHeight="1">
      <c r="A7" s="9" t="n">
        <v>5</v>
      </c>
      <c r="B7" s="10" t="inlineStr">
        <is>
          <t>Play Store Account</t>
        </is>
      </c>
      <c r="C7" s="10" t="inlineStr">
        <is>
          <t>Google</t>
        </is>
      </c>
      <c r="D7" s="10" t="inlineStr">
        <is>
          <t>App Distribution</t>
        </is>
      </c>
      <c r="E7" s="10" t="inlineStr">
        <is>
          <t>Global</t>
        </is>
      </c>
      <c r="F7" s="11" t="n">
        <v>45301</v>
      </c>
      <c r="G7" s="11" t="n">
        <v>73050</v>
      </c>
      <c r="H7" s="12">
        <f>G7-TODAY()</f>
        <v/>
      </c>
      <c r="I7" s="9">
        <f>IF(G7="","",IF(G7&gt;TODAY()+3650,"🔵 Permanent",IF(H7&lt;=30,"🔴 Critical",IF(H7&lt;=90,"🟡 Expiring Soon","🟢 Active"))))</f>
        <v/>
      </c>
      <c r="J7" s="18" t="n">
        <v>0</v>
      </c>
      <c r="K7" s="9" t="inlineStr">
        <is>
          <t>N/A</t>
        </is>
      </c>
      <c r="L7" s="10" t="inlineStr">
        <is>
          <t>GrahVarta Apps</t>
        </is>
      </c>
      <c r="M7" s="10" t="inlineStr">
        <is>
          <t>One-time $25 paid</t>
        </is>
      </c>
    </row>
    <row r="8" ht="22" customHeight="1">
      <c r="A8" s="13" t="n">
        <v>6</v>
      </c>
      <c r="B8" s="14" t="inlineStr">
        <is>
          <t>Apple Developer</t>
        </is>
      </c>
      <c r="C8" s="14" t="inlineStr">
        <is>
          <t>Apple</t>
        </is>
      </c>
      <c r="D8" s="14" t="inlineStr">
        <is>
          <t>App Distribution</t>
        </is>
      </c>
      <c r="E8" s="14" t="inlineStr">
        <is>
          <t>Global</t>
        </is>
      </c>
      <c r="F8" s="15" t="n">
        <v>45748</v>
      </c>
      <c r="G8" s="15" t="n">
        <v>46113</v>
      </c>
      <c r="H8" s="16">
        <f>G8-TODAY()</f>
        <v/>
      </c>
      <c r="I8" s="13">
        <f>IF(G8="","",IF(G8&gt;TODAY()+3650,"🔵 Permanent",IF(H8&lt;=30,"🔴 Critical",IF(H8&lt;=90,"🟡 Expiring Soon","🟢 Active"))))</f>
        <v/>
      </c>
      <c r="J8" s="19" t="n">
        <v>99</v>
      </c>
      <c r="K8" s="13" t="inlineStr">
        <is>
          <t>Yes</t>
        </is>
      </c>
      <c r="L8" s="14" t="inlineStr">
        <is>
          <t>GrahVarta iOS</t>
        </is>
      </c>
      <c r="M8" s="14" t="inlineStr">
        <is>
          <t>Annual renewal</t>
        </is>
      </c>
    </row>
    <row r="9">
      <c r="I9" s="17">
        <f>IF(G9="","",IF(G9&gt;TODAY()+3650,"🔵 Permanent",IF(H9&lt;=30,"🔴 Critical",IF(H9&lt;=90,"🟡 Expiring Soon","🟢 Active"))))</f>
        <v/>
      </c>
    </row>
    <row r="10">
      <c r="I10" s="17">
        <f>IF(G10="","",IF(G10&gt;TODAY()+3650,"🔵 Permanent",IF(H10&lt;=30,"🔴 Critical",IF(H10&lt;=90,"🟡 Expiring Soon","🟢 Active"))))</f>
        <v/>
      </c>
    </row>
    <row r="11">
      <c r="I11" s="17">
        <f>IF(G11="","",IF(G11&gt;TODAY()+3650,"🔵 Permanent",IF(H11&lt;=30,"🔴 Critical",IF(H11&lt;=90,"🟡 Expiring Soon","🟢 Active"))))</f>
        <v/>
      </c>
    </row>
    <row r="12">
      <c r="I12" s="17">
        <f>IF(G12="","",IF(G12&gt;TODAY()+3650,"🔵 Permanent",IF(H12&lt;=30,"🔴 Critical",IF(H12&lt;=90,"🟡 Expiring Soon","🟢 Active"))))</f>
        <v/>
      </c>
    </row>
    <row r="13">
      <c r="I13" s="17">
        <f>IF(G13="","",IF(G13&gt;TODAY()+3650,"🔵 Permanent",IF(H13&lt;=30,"🔴 Critical",IF(H13&lt;=90,"🟡 Expiring Soon","🟢 Active"))))</f>
        <v/>
      </c>
    </row>
    <row r="14">
      <c r="I14" s="17">
        <f>IF(G14="","",IF(G14&gt;TODAY()+3650,"🔵 Permanent",IF(H14&lt;=30,"🔴 Critical",IF(H14&lt;=90,"🟡 Expiring Soon","🟢 Active"))))</f>
        <v/>
      </c>
    </row>
    <row r="15">
      <c r="I15" s="17">
        <f>IF(G15="","",IF(G15&gt;TODAY()+3650,"🔵 Permanent",IF(H15&lt;=30,"🔴 Critical",IF(H15&lt;=90,"🟡 Expiring Soon","🟢 Active"))))</f>
        <v/>
      </c>
    </row>
    <row r="16">
      <c r="I16" s="17">
        <f>IF(G16="","",IF(G16&gt;TODAY()+3650,"🔵 Permanent",IF(H16&lt;=30,"🔴 Critical",IF(H16&lt;=90,"🟡 Expiring Soon","🟢 Active"))))</f>
        <v/>
      </c>
    </row>
    <row r="17">
      <c r="I17" s="17">
        <f>IF(G17="","",IF(G17&gt;TODAY()+3650,"🔵 Permanent",IF(H17&lt;=30,"🔴 Critical",IF(H17&lt;=90,"🟡 Expiring Soon","🟢 Active"))))</f>
        <v/>
      </c>
    </row>
    <row r="18">
      <c r="I18" s="17">
        <f>IF(G18="","",IF(G18&gt;TODAY()+3650,"🔵 Permanent",IF(H18&lt;=30,"🔴 Critical",IF(H18&lt;=90,"🟡 Expiring Soon","🟢 Active"))))</f>
        <v/>
      </c>
    </row>
    <row r="19">
      <c r="I19" s="17">
        <f>IF(G19="","",IF(G19&gt;TODAY()+3650,"🔵 Permanent",IF(H19&lt;=30,"🔴 Critical",IF(H19&lt;=90,"🟡 Expiring Soon","🟢 Active"))))</f>
        <v/>
      </c>
    </row>
    <row r="20">
      <c r="I20" s="17">
        <f>IF(G20="","",IF(G20&gt;TODAY()+3650,"🔵 Permanent",IF(H20&lt;=30,"🔴 Critical",IF(H20&lt;=90,"🟡 Expiring Soon","🟢 Active"))))</f>
        <v/>
      </c>
    </row>
    <row r="21">
      <c r="I21" s="17">
        <f>IF(G21="","",IF(G21&gt;TODAY()+3650,"🔵 Permanent",IF(H21&lt;=30,"🔴 Critical",IF(H21&lt;=90,"🟡 Expiring Soon","🟢 Active"))))</f>
        <v/>
      </c>
    </row>
    <row r="22">
      <c r="I22" s="17">
        <f>IF(G22="","",IF(G22&gt;TODAY()+3650,"🔵 Permanent",IF(H22&lt;=30,"🔴 Critical",IF(H22&lt;=90,"🟡 Expiring Soon","🟢 Active"))))</f>
        <v/>
      </c>
    </row>
    <row r="23">
      <c r="I23" s="17">
        <f>IF(G23="","",IF(G23&gt;TODAY()+3650,"🔵 Permanent",IF(H23&lt;=30,"🔴 Critical",IF(H23&lt;=90,"🟡 Expiring Soon","🟢 Active"))))</f>
        <v/>
      </c>
    </row>
    <row r="24">
      <c r="I24" s="17">
        <f>IF(G24="","",IF(G24&gt;TODAY()+3650,"🔵 Permanent",IF(H24&lt;=30,"🔴 Critical",IF(H24&lt;=90,"🟡 Expiring Soon","🟢 Active"))))</f>
        <v/>
      </c>
    </row>
    <row r="25">
      <c r="I25" s="17">
        <f>IF(G25="","",IF(G25&gt;TODAY()+3650,"🔵 Permanent",IF(H25&lt;=30,"🔴 Critical",IF(H25&lt;=90,"🟡 Expiring Soon","🟢 Active"))))</f>
        <v/>
      </c>
    </row>
    <row r="26">
      <c r="I26" s="17">
        <f>IF(G26="","",IF(G26&gt;TODAY()+3650,"🔵 Permanent",IF(H26&lt;=30,"🔴 Critical",IF(H26&lt;=90,"🟡 Expiring Soon","🟢 Active"))))</f>
        <v/>
      </c>
    </row>
    <row r="27">
      <c r="I27" s="17">
        <f>IF(G27="","",IF(G27&gt;TODAY()+3650,"🔵 Permanent",IF(H27&lt;=30,"🔴 Critical",IF(H27&lt;=90,"🟡 Expiring Soon","🟢 Active"))))</f>
        <v/>
      </c>
    </row>
    <row r="28">
      <c r="I28" s="17">
        <f>IF(G28="","",IF(G28&gt;TODAY()+3650,"🔵 Permanent",IF(H28&lt;=30,"🔴 Critical",IF(H28&lt;=90,"🟡 Expiring Soon","🟢 Active"))))</f>
        <v/>
      </c>
    </row>
    <row r="29">
      <c r="I29" s="17">
        <f>IF(G29="","",IF(G29&gt;TODAY()+3650,"🔵 Permanent",IF(H29&lt;=30,"🔴 Critical",IF(H29&lt;=90,"🟡 Expiring Soon","🟢 Active"))))</f>
        <v/>
      </c>
    </row>
    <row r="30">
      <c r="I30" s="17">
        <f>IF(G30="","",IF(G30&gt;TODAY()+3650,"🔵 Permanent",IF(H30&lt;=30,"🔴 Critical",IF(H30&lt;=90,"🟡 Expiring Soon","🟢 Active"))))</f>
        <v/>
      </c>
    </row>
    <row r="31">
      <c r="I31" s="17">
        <f>IF(G31="","",IF(G31&gt;TODAY()+3650,"🔵 Permanent",IF(H31&lt;=30,"🔴 Critical",IF(H31&lt;=90,"🟡 Expiring Soon","🟢 Active"))))</f>
        <v/>
      </c>
    </row>
    <row r="32">
      <c r="I32" s="17">
        <f>IF(G32="","",IF(G32&gt;TODAY()+3650,"🔵 Permanent",IF(H32&lt;=30,"🔴 Critical",IF(H32&lt;=90,"🟡 Expiring Soon","🟢 Active"))))</f>
        <v/>
      </c>
    </row>
    <row r="33">
      <c r="I33" s="17">
        <f>IF(G33="","",IF(G33&gt;TODAY()+3650,"🔵 Permanent",IF(H33&lt;=30,"🔴 Critical",IF(H33&lt;=90,"🟡 Expiring Soon","🟢 Active"))))</f>
        <v/>
      </c>
    </row>
    <row r="34">
      <c r="I34" s="17">
        <f>IF(G34="","",IF(G34&gt;TODAY()+3650,"🔵 Permanent",IF(H34&lt;=30,"🔴 Critical",IF(H34&lt;=90,"🟡 Expiring Soon","🟢 Active"))))</f>
        <v/>
      </c>
    </row>
    <row r="35">
      <c r="I35" s="17">
        <f>IF(G35="","",IF(G35&gt;TODAY()+3650,"🔵 Permanent",IF(H35&lt;=30,"🔴 Critical",IF(H35&lt;=90,"🟡 Expiring Soon","🟢 Active"))))</f>
        <v/>
      </c>
    </row>
    <row r="36">
      <c r="I36" s="17">
        <f>IF(G36="","",IF(G36&gt;TODAY()+3650,"🔵 Permanent",IF(H36&lt;=30,"🔴 Critical",IF(H36&lt;=90,"🟡 Expiring Soon","🟢 Active"))))</f>
        <v/>
      </c>
    </row>
    <row r="37">
      <c r="I37" s="17">
        <f>IF(G37="","",IF(G37&gt;TODAY()+3650,"🔵 Permanent",IF(H37&lt;=30,"🔴 Critical",IF(H37&lt;=90,"🟡 Expiring Soon","🟢 Active"))))</f>
        <v/>
      </c>
    </row>
    <row r="38">
      <c r="I38" s="17">
        <f>IF(G38="","",IF(G38&gt;TODAY()+3650,"🔵 Permanent",IF(H38&lt;=30,"🔴 Critical",IF(H38&lt;=90,"🟡 Expiring Soon","🟢 Active"))))</f>
        <v/>
      </c>
    </row>
    <row r="39">
      <c r="I39" s="17">
        <f>IF(G39="","",IF(G39&gt;TODAY()+3650,"🔵 Permanent",IF(H39&lt;=30,"🔴 Critical",IF(H39&lt;=90,"🟡 Expiring Soon","🟢 Active"))))</f>
        <v/>
      </c>
    </row>
    <row r="40">
      <c r="I40" s="17">
        <f>IF(G40="","",IF(G40&gt;TODAY()+3650,"🔵 Permanent",IF(H40&lt;=30,"🔴 Critical",IF(H40&lt;=90,"🟡 Expiring Soon","🟢 Active"))))</f>
        <v/>
      </c>
    </row>
    <row r="41">
      <c r="I41" s="17">
        <f>IF(G41="","",IF(G41&gt;TODAY()+3650,"🔵 Permanent",IF(H41&lt;=30,"🔴 Critical",IF(H41&lt;=90,"🟡 Expiring Soon","🟢 Active"))))</f>
        <v/>
      </c>
    </row>
    <row r="42">
      <c r="I42" s="17">
        <f>IF(G42="","",IF(G42&gt;TODAY()+3650,"🔵 Permanent",IF(H42&lt;=30,"🔴 Critical",IF(H42&lt;=90,"🟡 Expiring Soon","🟢 Active"))))</f>
        <v/>
      </c>
    </row>
    <row r="43">
      <c r="I43" s="17">
        <f>IF(G43="","",IF(G43&gt;TODAY()+3650,"🔵 Permanent",IF(H43&lt;=30,"🔴 Critical",IF(H43&lt;=90,"🟡 Expiring Soon","🟢 Active"))))</f>
        <v/>
      </c>
    </row>
    <row r="44">
      <c r="I44" s="17">
        <f>IF(G44="","",IF(G44&gt;TODAY()+3650,"🔵 Permanent",IF(H44&lt;=30,"🔴 Critical",IF(H44&lt;=90,"🟡 Expiring Soon","🟢 Active"))))</f>
        <v/>
      </c>
    </row>
    <row r="45">
      <c r="I45" s="17">
        <f>IF(G45="","",IF(G45&gt;TODAY()+3650,"🔵 Permanent",IF(H45&lt;=30,"🔴 Critical",IF(H45&lt;=90,"🟡 Expiring Soon","🟢 Active"))))</f>
        <v/>
      </c>
    </row>
    <row r="46">
      <c r="I46" s="17">
        <f>IF(G46="","",IF(G46&gt;TODAY()+3650,"🔵 Permanent",IF(H46&lt;=30,"🔴 Critical",IF(H46&lt;=90,"🟡 Expiring Soon","🟢 Active"))))</f>
        <v/>
      </c>
    </row>
    <row r="47">
      <c r="I47" s="17">
        <f>IF(G47="","",IF(G47&gt;TODAY()+3650,"🔵 Permanent",IF(H47&lt;=30,"🔴 Critical",IF(H47&lt;=90,"🟡 Expiring Soon","🟢 Active"))))</f>
        <v/>
      </c>
    </row>
    <row r="48">
      <c r="I48" s="17">
        <f>IF(G48="","",IF(G48&gt;TODAY()+3650,"🔵 Permanent",IF(H48&lt;=30,"🔴 Critical",IF(H48&lt;=90,"🟡 Expiring Soon","🟢 Active"))))</f>
        <v/>
      </c>
    </row>
    <row r="49">
      <c r="I49" s="17">
        <f>IF(G49="","",IF(G49&gt;TODAY()+3650,"🔵 Permanent",IF(H49&lt;=30,"🔴 Critical",IF(H49&lt;=90,"🟡 Expiring Soon","🟢 Active"))))</f>
        <v/>
      </c>
    </row>
    <row r="50">
      <c r="I50" s="17">
        <f>IF(G50="","",IF(G50&gt;TODAY()+3650,"🔵 Permanent",IF(H50&lt;=30,"🔴 Critical",IF(H50&lt;=90,"🟡 Expiring Soon","🟢 Active"))))</f>
        <v/>
      </c>
    </row>
    <row r="51">
      <c r="I51" s="17">
        <f>IF(G51="","",IF(G51&gt;TODAY()+3650,"🔵 Permanent",IF(H51&lt;=30,"🔴 Critical",IF(H51&lt;=90,"🟡 Expiring Soon","🟢 Active"))))</f>
        <v/>
      </c>
    </row>
    <row r="52">
      <c r="I52" s="17">
        <f>IF(G52="","",IF(G52&gt;TODAY()+3650,"🔵 Permanent",IF(H52&lt;=30,"🔴 Critical",IF(H52&lt;=90,"🟡 Expiring Soon","🟢 Active"))))</f>
        <v/>
      </c>
    </row>
    <row r="53">
      <c r="I53" s="17">
        <f>IF(G53="","",IF(G53&gt;TODAY()+3650,"🔵 Permanent",IF(H53&lt;=30,"🔴 Critical",IF(H53&lt;=90,"🟡 Expiring Soon","🟢 Active"))))</f>
        <v/>
      </c>
    </row>
    <row r="54">
      <c r="I54" s="17">
        <f>IF(G54="","",IF(G54&gt;TODAY()+3650,"🔵 Permanent",IF(H54&lt;=30,"🔴 Critical",IF(H54&lt;=90,"🟡 Expiring Soon","🟢 Active"))))</f>
        <v/>
      </c>
    </row>
    <row r="55">
      <c r="I55" s="17">
        <f>IF(G55="","",IF(G55&gt;TODAY()+3650,"🔵 Permanent",IF(H55&lt;=30,"🔴 Critical",IF(H55&lt;=90,"🟡 Expiring Soon","🟢 Active"))))</f>
        <v/>
      </c>
    </row>
    <row r="56">
      <c r="I56" s="17">
        <f>IF(G56="","",IF(G56&gt;TODAY()+3650,"🔵 Permanent",IF(H56&lt;=30,"🔴 Critical",IF(H56&lt;=90,"🟡 Expiring Soon","🟢 Active"))))</f>
        <v/>
      </c>
    </row>
    <row r="57">
      <c r="I57" s="17">
        <f>IF(G57="","",IF(G57&gt;TODAY()+3650,"🔵 Permanent",IF(H57&lt;=30,"🔴 Critical",IF(H57&lt;=90,"🟡 Expiring Soon","🟢 Active"))))</f>
        <v/>
      </c>
    </row>
    <row r="58">
      <c r="I58" s="17">
        <f>IF(G58="","",IF(G58&gt;TODAY()+3650,"🔵 Permanent",IF(H58&lt;=30,"🔴 Critical",IF(H58&lt;=90,"🟡 Expiring Soon","🟢 Active"))))</f>
        <v/>
      </c>
    </row>
    <row r="59">
      <c r="I59" s="17">
        <f>IF(G59="","",IF(G59&gt;TODAY()+3650,"🔵 Permanent",IF(H59&lt;=30,"🔴 Critical",IF(H59&lt;=90,"🟡 Expiring Soon","🟢 Active"))))</f>
        <v/>
      </c>
    </row>
    <row r="60">
      <c r="I60" s="17">
        <f>IF(G60="","",IF(G60&gt;TODAY()+3650,"🔵 Permanent",IF(H60&lt;=30,"🔴 Critical",IF(H60&lt;=90,"🟡 Expiring Soon","🟢 Active"))))</f>
        <v/>
      </c>
    </row>
    <row r="61">
      <c r="I61" s="17">
        <f>IF(G61="","",IF(G61&gt;TODAY()+3650,"🔵 Permanent",IF(H61&lt;=30,"🔴 Critical",IF(H61&lt;=90,"🟡 Expiring Soon","🟢 Active"))))</f>
        <v/>
      </c>
    </row>
    <row r="62">
      <c r="I62" s="17">
        <f>IF(G62="","",IF(G62&gt;TODAY()+3650,"🔵 Permanent",IF(H62&lt;=30,"🔴 Critical",IF(H62&lt;=90,"🟡 Expiring Soon","🟢 Active"))))</f>
        <v/>
      </c>
    </row>
    <row r="63">
      <c r="I63" s="17">
        <f>IF(G63="","",IF(G63&gt;TODAY()+3650,"🔵 Permanent",IF(H63&lt;=30,"🔴 Critical",IF(H63&lt;=90,"🟡 Expiring Soon","🟢 Active"))))</f>
        <v/>
      </c>
    </row>
    <row r="64">
      <c r="I64" s="17">
        <f>IF(G64="","",IF(G64&gt;TODAY()+3650,"🔵 Permanent",IF(H64&lt;=30,"🔴 Critical",IF(H64&lt;=90,"🟡 Expiring Soon","🟢 Active"))))</f>
        <v/>
      </c>
    </row>
    <row r="65">
      <c r="I65" s="17">
        <f>IF(G65="","",IF(G65&gt;TODAY()+3650,"🔵 Permanent",IF(H65&lt;=30,"🔴 Critical",IF(H65&lt;=90,"🟡 Expiring Soon","🟢 Active"))))</f>
        <v/>
      </c>
    </row>
    <row r="66">
      <c r="I66" s="17">
        <f>IF(G66="","",IF(G66&gt;TODAY()+3650,"🔵 Permanent",IF(H66&lt;=30,"🔴 Critical",IF(H66&lt;=90,"🟡 Expiring Soon","🟢 Active"))))</f>
        <v/>
      </c>
    </row>
    <row r="67">
      <c r="I67" s="17">
        <f>IF(G67="","",IF(G67&gt;TODAY()+3650,"🔵 Permanent",IF(H67&lt;=30,"🔴 Critical",IF(H67&lt;=90,"🟡 Expiring Soon","🟢 Active"))))</f>
        <v/>
      </c>
    </row>
    <row r="68">
      <c r="I68" s="17">
        <f>IF(G68="","",IF(G68&gt;TODAY()+3650,"🔵 Permanent",IF(H68&lt;=30,"🔴 Critical",IF(H68&lt;=90,"🟡 Expiring Soon","🟢 Active"))))</f>
        <v/>
      </c>
    </row>
    <row r="69">
      <c r="I69" s="17">
        <f>IF(G69="","",IF(G69&gt;TODAY()+3650,"🔵 Permanent",IF(H69&lt;=30,"🔴 Critical",IF(H69&lt;=90,"🟡 Expiring Soon","🟢 Active"))))</f>
        <v/>
      </c>
    </row>
    <row r="70">
      <c r="I70" s="17">
        <f>IF(G70="","",IF(G70&gt;TODAY()+3650,"🔵 Permanent",IF(H70&lt;=30,"🔴 Critical",IF(H70&lt;=90,"🟡 Expiring Soon","🟢 Active"))))</f>
        <v/>
      </c>
    </row>
    <row r="71">
      <c r="I71" s="17">
        <f>IF(G71="","",IF(G71&gt;TODAY()+3650,"🔵 Permanent",IF(H71&lt;=30,"🔴 Critical",IF(H71&lt;=90,"🟡 Expiring Soon","🟢 Active"))))</f>
        <v/>
      </c>
    </row>
    <row r="72">
      <c r="I72" s="17">
        <f>IF(G72="","",IF(G72&gt;TODAY()+3650,"🔵 Permanent",IF(H72&lt;=30,"🔴 Critical",IF(H72&lt;=90,"🟡 Expiring Soon","🟢 Active"))))</f>
        <v/>
      </c>
    </row>
    <row r="73">
      <c r="I73" s="17">
        <f>IF(G73="","",IF(G73&gt;TODAY()+3650,"🔵 Permanent",IF(H73&lt;=30,"🔴 Critical",IF(H73&lt;=90,"🟡 Expiring Soon","🟢 Active"))))</f>
        <v/>
      </c>
    </row>
    <row r="74">
      <c r="I74" s="17">
        <f>IF(G74="","",IF(G74&gt;TODAY()+3650,"🔵 Permanent",IF(H74&lt;=30,"🔴 Critical",IF(H74&lt;=90,"🟡 Expiring Soon","🟢 Active"))))</f>
        <v/>
      </c>
    </row>
    <row r="75">
      <c r="I75" s="17">
        <f>IF(G75="","",IF(G75&gt;TODAY()+3650,"🔵 Permanent",IF(H75&lt;=30,"🔴 Critical",IF(H75&lt;=90,"🟡 Expiring Soon","🟢 Active"))))</f>
        <v/>
      </c>
    </row>
    <row r="76">
      <c r="I76" s="17">
        <f>IF(G76="","",IF(G76&gt;TODAY()+3650,"🔵 Permanent",IF(H76&lt;=30,"🔴 Critical",IF(H76&lt;=90,"🟡 Expiring Soon","🟢 Active"))))</f>
        <v/>
      </c>
    </row>
    <row r="77">
      <c r="I77" s="17">
        <f>IF(G77="","",IF(G77&gt;TODAY()+3650,"🔵 Permanent",IF(H77&lt;=30,"🔴 Critical",IF(H77&lt;=90,"🟡 Expiring Soon","🟢 Active"))))</f>
        <v/>
      </c>
    </row>
    <row r="78">
      <c r="I78" s="17">
        <f>IF(G78="","",IF(G78&gt;TODAY()+3650,"🔵 Permanent",IF(H78&lt;=30,"🔴 Critical",IF(H78&lt;=90,"🟡 Expiring Soon","🟢 Active"))))</f>
        <v/>
      </c>
    </row>
    <row r="79">
      <c r="I79" s="17">
        <f>IF(G79="","",IF(G79&gt;TODAY()+3650,"🔵 Permanent",IF(H79&lt;=30,"🔴 Critical",IF(H79&lt;=90,"🟡 Expiring Soon","🟢 Active"))))</f>
        <v/>
      </c>
    </row>
    <row r="80">
      <c r="I80" s="17">
        <f>IF(G80="","",IF(G80&gt;TODAY()+3650,"🔵 Permanent",IF(H80&lt;=30,"🔴 Critical",IF(H80&lt;=90,"🟡 Expiring Soon","🟢 Active"))))</f>
        <v/>
      </c>
    </row>
    <row r="81">
      <c r="I81" s="17">
        <f>IF(G81="","",IF(G81&gt;TODAY()+3650,"🔵 Permanent",IF(H81&lt;=30,"🔴 Critical",IF(H81&lt;=90,"🟡 Expiring Soon","🟢 Active"))))</f>
        <v/>
      </c>
    </row>
    <row r="82">
      <c r="I82" s="17">
        <f>IF(G82="","",IF(G82&gt;TODAY()+3650,"🔵 Permanent",IF(H82&lt;=30,"🔴 Critical",IF(H82&lt;=90,"🟡 Expiring Soon","🟢 Active"))))</f>
        <v/>
      </c>
    </row>
    <row r="83">
      <c r="I83" s="17">
        <f>IF(G83="","",IF(G83&gt;TODAY()+3650,"🔵 Permanent",IF(H83&lt;=30,"🔴 Critical",IF(H83&lt;=90,"🟡 Expiring Soon","🟢 Active"))))</f>
        <v/>
      </c>
    </row>
    <row r="84">
      <c r="I84" s="17">
        <f>IF(G84="","",IF(G84&gt;TODAY()+3650,"🔵 Permanent",IF(H84&lt;=30,"🔴 Critical",IF(H84&lt;=90,"🟡 Expiring Soon","🟢 Active"))))</f>
        <v/>
      </c>
    </row>
    <row r="85">
      <c r="I85" s="17">
        <f>IF(G85="","",IF(G85&gt;TODAY()+3650,"🔵 Permanent",IF(H85&lt;=30,"🔴 Critical",IF(H85&lt;=90,"🟡 Expiring Soon","🟢 Active"))))</f>
        <v/>
      </c>
    </row>
    <row r="86">
      <c r="I86" s="17">
        <f>IF(G86="","",IF(G86&gt;TODAY()+3650,"🔵 Permanent",IF(H86&lt;=30,"🔴 Critical",IF(H86&lt;=90,"🟡 Expiring Soon","🟢 Active"))))</f>
        <v/>
      </c>
    </row>
    <row r="87">
      <c r="I87" s="17">
        <f>IF(G87="","",IF(G87&gt;TODAY()+3650,"🔵 Permanent",IF(H87&lt;=30,"🔴 Critical",IF(H87&lt;=90,"🟡 Expiring Soon","🟢 Active"))))</f>
        <v/>
      </c>
    </row>
    <row r="88">
      <c r="I88" s="17">
        <f>IF(G88="","",IF(G88&gt;TODAY()+3650,"🔵 Permanent",IF(H88&lt;=30,"🔴 Critical",IF(H88&lt;=90,"🟡 Expiring Soon","🟢 Active"))))</f>
        <v/>
      </c>
    </row>
    <row r="89">
      <c r="I89" s="17">
        <f>IF(G89="","",IF(G89&gt;TODAY()+3650,"🔵 Permanent",IF(H89&lt;=30,"🔴 Critical",IF(H89&lt;=90,"🟡 Expiring Soon","🟢 Active"))))</f>
        <v/>
      </c>
    </row>
    <row r="90">
      <c r="I90" s="17">
        <f>IF(G90="","",IF(G90&gt;TODAY()+3650,"🔵 Permanent",IF(H90&lt;=30,"🔴 Critical",IF(H90&lt;=90,"🟡 Expiring Soon","🟢 Active"))))</f>
        <v/>
      </c>
    </row>
    <row r="91">
      <c r="I91" s="17">
        <f>IF(G91="","",IF(G91&gt;TODAY()+3650,"🔵 Permanent",IF(H91&lt;=30,"🔴 Critical",IF(H91&lt;=90,"🟡 Expiring Soon","🟢 Active"))))</f>
        <v/>
      </c>
    </row>
    <row r="92">
      <c r="I92" s="17">
        <f>IF(G92="","",IF(G92&gt;TODAY()+3650,"🔵 Permanent",IF(H92&lt;=30,"🔴 Critical",IF(H92&lt;=90,"🟡 Expiring Soon","🟢 Active"))))</f>
        <v/>
      </c>
    </row>
    <row r="93">
      <c r="I93" s="17">
        <f>IF(G93="","",IF(G93&gt;TODAY()+3650,"🔵 Permanent",IF(H93&lt;=30,"🔴 Critical",IF(H93&lt;=90,"🟡 Expiring Soon","🟢 Active"))))</f>
        <v/>
      </c>
    </row>
    <row r="94">
      <c r="I94" s="17">
        <f>IF(G94="","",IF(G94&gt;TODAY()+3650,"🔵 Permanent",IF(H94&lt;=30,"🔴 Critical",IF(H94&lt;=90,"🟡 Expiring Soon","🟢 Active"))))</f>
        <v/>
      </c>
    </row>
    <row r="95">
      <c r="I95" s="17">
        <f>IF(G95="","",IF(G95&gt;TODAY()+3650,"🔵 Permanent",IF(H95&lt;=30,"🔴 Critical",IF(H95&lt;=90,"🟡 Expiring Soon","🟢 Active"))))</f>
        <v/>
      </c>
    </row>
    <row r="96">
      <c r="I96" s="17">
        <f>IF(G96="","",IF(G96&gt;TODAY()+3650,"🔵 Permanent",IF(H96&lt;=30,"🔴 Critical",IF(H96&lt;=90,"🟡 Expiring Soon","🟢 Active"))))</f>
        <v/>
      </c>
    </row>
    <row r="97">
      <c r="I97" s="17">
        <f>IF(G97="","",IF(G97&gt;TODAY()+3650,"🔵 Permanent",IF(H97&lt;=30,"🔴 Critical",IF(H97&lt;=90,"🟡 Expiring Soon","🟢 Active"))))</f>
        <v/>
      </c>
    </row>
    <row r="98">
      <c r="I98" s="17">
        <f>IF(G98="","",IF(G98&gt;TODAY()+3650,"🔵 Permanent",IF(H98&lt;=30,"🔴 Critical",IF(H98&lt;=90,"🟡 Expiring Soon","🟢 Active"))))</f>
        <v/>
      </c>
    </row>
    <row r="99">
      <c r="I99" s="17">
        <f>IF(G99="","",IF(G99&gt;TODAY()+3650,"🔵 Permanent",IF(H99&lt;=30,"🔴 Critical",IF(H99&lt;=90,"🟡 Expiring Soon","🟢 Active"))))</f>
        <v/>
      </c>
    </row>
    <row r="100">
      <c r="I100" s="17">
        <f>IF(G100="","",IF(G100&gt;TODAY()+3650,"🔵 Permanent",IF(H100&lt;=30,"🔴 Critical",IF(H100&lt;=90,"🟡 Expiring Soon","🟢 Active"))))</f>
        <v/>
      </c>
    </row>
    <row r="101">
      <c r="I101" s="17">
        <f>IF(G101="","",IF(G101&gt;TODAY()+3650,"🔵 Permanent",IF(H101&lt;=30,"🔴 Critical",IF(H101&lt;=90,"🟡 Expiring Soon","🟢 Active"))))</f>
        <v/>
      </c>
    </row>
    <row r="102">
      <c r="I102" s="17">
        <f>IF(G102="","",IF(G102&gt;TODAY()+3650,"🔵 Permanent",IF(H102&lt;=30,"🔴 Critical",IF(H102&lt;=90,"🟡 Expiring Soon","🟢 Active"))))</f>
        <v/>
      </c>
    </row>
    <row r="103">
      <c r="I103" s="17">
        <f>IF(G103="","",IF(G103&gt;TODAY()+3650,"🔵 Permanent",IF(H103&lt;=30,"🔴 Critical",IF(H103&lt;=90,"🟡 Expiring Soon","🟢 Active"))))</f>
        <v/>
      </c>
    </row>
    <row r="104">
      <c r="I104" s="17">
        <f>IF(G104="","",IF(G104&gt;TODAY()+3650,"🔵 Permanent",IF(H104&lt;=30,"🔴 Critical",IF(H104&lt;=90,"🟡 Expiring Soon","🟢 Active"))))</f>
        <v/>
      </c>
    </row>
    <row r="105">
      <c r="I105" s="17">
        <f>IF(G105="","",IF(G105&gt;TODAY()+3650,"🔵 Permanent",IF(H105&lt;=30,"🔴 Critical",IF(H105&lt;=90,"🟡 Expiring Soon","🟢 Active"))))</f>
        <v/>
      </c>
    </row>
    <row r="106">
      <c r="I106" s="17">
        <f>IF(G106="","",IF(G106&gt;TODAY()+3650,"🔵 Permanent",IF(H106&lt;=30,"🔴 Critical",IF(H106&lt;=90,"🟡 Expiring Soon","🟢 Active"))))</f>
        <v/>
      </c>
    </row>
    <row r="107">
      <c r="I107" s="17">
        <f>IF(G107="","",IF(G107&gt;TODAY()+3650,"🔵 Permanent",IF(H107&lt;=30,"🔴 Critical",IF(H107&lt;=90,"🟡 Expiring Soon","🟢 Active"))))</f>
        <v/>
      </c>
    </row>
    <row r="108">
      <c r="I108" s="17">
        <f>IF(G108="","",IF(G108&gt;TODAY()+3650,"🔵 Permanent",IF(H108&lt;=30,"🔴 Critical",IF(H108&lt;=90,"🟡 Expiring Soon","🟢 Active"))))</f>
        <v/>
      </c>
    </row>
    <row r="109">
      <c r="I109" s="17">
        <f>IF(G109="","",IF(G109&gt;TODAY()+3650,"🔵 Permanent",IF(H109&lt;=30,"🔴 Critical",IF(H109&lt;=90,"🟡 Expiring Soon","🟢 Active"))))</f>
        <v/>
      </c>
    </row>
    <row r="110">
      <c r="I110" s="17">
        <f>IF(G110="","",IF(G110&gt;TODAY()+3650,"🔵 Permanent",IF(H110&lt;=30,"🔴 Critical",IF(H110&lt;=90,"🟡 Expiring Soon","🟢 Active"))))</f>
        <v/>
      </c>
    </row>
    <row r="111">
      <c r="I111" s="17">
        <f>IF(G111="","",IF(G111&gt;TODAY()+3650,"🔵 Permanent",IF(H111&lt;=30,"🔴 Critical",IF(H111&lt;=90,"🟡 Expiring Soon","🟢 Active"))))</f>
        <v/>
      </c>
    </row>
    <row r="112">
      <c r="I112" s="17">
        <f>IF(G112="","",IF(G112&gt;TODAY()+3650,"🔵 Permanent",IF(H112&lt;=30,"🔴 Critical",IF(H112&lt;=90,"🟡 Expiring Soon","🟢 Active"))))</f>
        <v/>
      </c>
    </row>
    <row r="113">
      <c r="I113" s="17">
        <f>IF(G113="","",IF(G113&gt;TODAY()+3650,"🔵 Permanent",IF(H113&lt;=30,"🔴 Critical",IF(H113&lt;=90,"🟡 Expiring Soon","🟢 Active"))))</f>
        <v/>
      </c>
    </row>
    <row r="114">
      <c r="I114" s="17">
        <f>IF(G114="","",IF(G114&gt;TODAY()+3650,"🔵 Permanent",IF(H114&lt;=30,"🔴 Critical",IF(H114&lt;=90,"🟡 Expiring Soon","🟢 Active"))))</f>
        <v/>
      </c>
    </row>
    <row r="115">
      <c r="I115" s="17">
        <f>IF(G115="","",IF(G115&gt;TODAY()+3650,"🔵 Permanent",IF(H115&lt;=30,"🔴 Critical",IF(H115&lt;=90,"🟡 Expiring Soon","🟢 Active"))))</f>
        <v/>
      </c>
    </row>
    <row r="116">
      <c r="I116" s="17">
        <f>IF(G116="","",IF(G116&gt;TODAY()+3650,"🔵 Permanent",IF(H116&lt;=30,"🔴 Critical",IF(H116&lt;=90,"🟡 Expiring Soon","🟢 Active"))))</f>
        <v/>
      </c>
    </row>
    <row r="117">
      <c r="I117" s="17">
        <f>IF(G117="","",IF(G117&gt;TODAY()+3650,"🔵 Permanent",IF(H117&lt;=30,"🔴 Critical",IF(H117&lt;=90,"🟡 Expiring Soon","🟢 Active"))))</f>
        <v/>
      </c>
    </row>
    <row r="118">
      <c r="I118" s="17">
        <f>IF(G118="","",IF(G118&gt;TODAY()+3650,"🔵 Permanent",IF(H118&lt;=30,"🔴 Critical",IF(H118&lt;=90,"🟡 Expiring Soon","🟢 Active"))))</f>
        <v/>
      </c>
    </row>
    <row r="119">
      <c r="I119" s="17">
        <f>IF(G119="","",IF(G119&gt;TODAY()+3650,"🔵 Permanent",IF(H119&lt;=30,"🔴 Critical",IF(H119&lt;=90,"🟡 Expiring Soon","🟢 Active"))))</f>
        <v/>
      </c>
    </row>
    <row r="120">
      <c r="I120" s="17">
        <f>IF(G120="","",IF(G120&gt;TODAY()+3650,"🔵 Permanent",IF(H120&lt;=30,"🔴 Critical",IF(H120&lt;=90,"🟡 Expiring Soon","🟢 Active"))))</f>
        <v/>
      </c>
    </row>
    <row r="121">
      <c r="I121" s="17">
        <f>IF(G121="","",IF(G121&gt;TODAY()+3650,"🔵 Permanent",IF(H121&lt;=30,"🔴 Critical",IF(H121&lt;=90,"🟡 Expiring Soon","🟢 Active"))))</f>
        <v/>
      </c>
    </row>
    <row r="122">
      <c r="I122" s="17">
        <f>IF(G122="","",IF(G122&gt;TODAY()+3650,"🔵 Permanent",IF(H122&lt;=30,"🔴 Critical",IF(H122&lt;=90,"🟡 Expiring Soon","🟢 Active"))))</f>
        <v/>
      </c>
    </row>
    <row r="123">
      <c r="I123" s="17">
        <f>IF(G123="","",IF(G123&gt;TODAY()+3650,"🔵 Permanent",IF(H123&lt;=30,"🔴 Critical",IF(H123&lt;=90,"🟡 Expiring Soon","🟢 Active"))))</f>
        <v/>
      </c>
    </row>
    <row r="124">
      <c r="I124" s="17">
        <f>IF(G124="","",IF(G124&gt;TODAY()+3650,"🔵 Permanent",IF(H124&lt;=30,"🔴 Critical",IF(H124&lt;=90,"🟡 Expiring Soon","🟢 Active"))))</f>
        <v/>
      </c>
    </row>
    <row r="125">
      <c r="I125" s="17">
        <f>IF(G125="","",IF(G125&gt;TODAY()+3650,"🔵 Permanent",IF(H125&lt;=30,"🔴 Critical",IF(H125&lt;=90,"🟡 Expiring Soon","🟢 Active"))))</f>
        <v/>
      </c>
    </row>
    <row r="126">
      <c r="I126" s="17">
        <f>IF(G126="","",IF(G126&gt;TODAY()+3650,"🔵 Permanent",IF(H126&lt;=30,"🔴 Critical",IF(H126&lt;=90,"🟡 Expiring Soon","🟢 Active"))))</f>
        <v/>
      </c>
    </row>
    <row r="127">
      <c r="I127" s="17">
        <f>IF(G127="","",IF(G127&gt;TODAY()+3650,"🔵 Permanent",IF(H127&lt;=30,"🔴 Critical",IF(H127&lt;=90,"🟡 Expiring Soon","🟢 Active"))))</f>
        <v/>
      </c>
    </row>
    <row r="128">
      <c r="I128" s="17">
        <f>IF(G128="","",IF(G128&gt;TODAY()+3650,"🔵 Permanent",IF(H128&lt;=30,"🔴 Critical",IF(H128&lt;=90,"🟡 Expiring Soon","🟢 Active"))))</f>
        <v/>
      </c>
    </row>
    <row r="129">
      <c r="I129" s="17">
        <f>IF(G129="","",IF(G129&gt;TODAY()+3650,"🔵 Permanent",IF(H129&lt;=30,"🔴 Critical",IF(H129&lt;=90,"🟡 Expiring Soon","🟢 Active"))))</f>
        <v/>
      </c>
    </row>
    <row r="130">
      <c r="I130" s="17">
        <f>IF(G130="","",IF(G130&gt;TODAY()+3650,"🔵 Permanent",IF(H130&lt;=30,"🔴 Critical",IF(H130&lt;=90,"🟡 Expiring Soon","🟢 Active"))))</f>
        <v/>
      </c>
    </row>
    <row r="131">
      <c r="I131" s="17">
        <f>IF(G131="","",IF(G131&gt;TODAY()+3650,"🔵 Permanent",IF(H131&lt;=30,"🔴 Critical",IF(H131&lt;=90,"🟡 Expiring Soon","🟢 Active"))))</f>
        <v/>
      </c>
    </row>
    <row r="132">
      <c r="I132" s="17">
        <f>IF(G132="","",IF(G132&gt;TODAY()+3650,"🔵 Permanent",IF(H132&lt;=30,"🔴 Critical",IF(H132&lt;=90,"🟡 Expiring Soon","🟢 Active"))))</f>
        <v/>
      </c>
    </row>
    <row r="133">
      <c r="I133" s="17">
        <f>IF(G133="","",IF(G133&gt;TODAY()+3650,"🔵 Permanent",IF(H133&lt;=30,"🔴 Critical",IF(H133&lt;=90,"🟡 Expiring Soon","🟢 Active"))))</f>
        <v/>
      </c>
    </row>
    <row r="134">
      <c r="I134" s="17">
        <f>IF(G134="","",IF(G134&gt;TODAY()+3650,"🔵 Permanent",IF(H134&lt;=30,"🔴 Critical",IF(H134&lt;=90,"🟡 Expiring Soon","🟢 Active"))))</f>
        <v/>
      </c>
    </row>
    <row r="135">
      <c r="I135" s="17">
        <f>IF(G135="","",IF(G135&gt;TODAY()+3650,"🔵 Permanent",IF(H135&lt;=30,"🔴 Critical",IF(H135&lt;=90,"🟡 Expiring Soon","🟢 Active"))))</f>
        <v/>
      </c>
    </row>
    <row r="136">
      <c r="I136" s="17">
        <f>IF(G136="","",IF(G136&gt;TODAY()+3650,"🔵 Permanent",IF(H136&lt;=30,"🔴 Critical",IF(H136&lt;=90,"🟡 Expiring Soon","🟢 Active"))))</f>
        <v/>
      </c>
    </row>
    <row r="137">
      <c r="I137" s="17">
        <f>IF(G137="","",IF(G137&gt;TODAY()+3650,"🔵 Permanent",IF(H137&lt;=30,"🔴 Critical",IF(H137&lt;=90,"🟡 Expiring Soon","🟢 Active"))))</f>
        <v/>
      </c>
    </row>
    <row r="138">
      <c r="I138" s="17">
        <f>IF(G138="","",IF(G138&gt;TODAY()+3650,"🔵 Permanent",IF(H138&lt;=30,"🔴 Critical",IF(H138&lt;=90,"🟡 Expiring Soon","🟢 Active"))))</f>
        <v/>
      </c>
    </row>
    <row r="139">
      <c r="I139" s="17">
        <f>IF(G139="","",IF(G139&gt;TODAY()+3650,"🔵 Permanent",IF(H139&lt;=30,"🔴 Critical",IF(H139&lt;=90,"🟡 Expiring Soon","🟢 Active"))))</f>
        <v/>
      </c>
    </row>
    <row r="140">
      <c r="I140" s="17">
        <f>IF(G140="","",IF(G140&gt;TODAY()+3650,"🔵 Permanent",IF(H140&lt;=30,"🔴 Critical",IF(H140&lt;=90,"🟡 Expiring Soon","🟢 Active"))))</f>
        <v/>
      </c>
    </row>
    <row r="141">
      <c r="I141" s="17">
        <f>IF(G141="","",IF(G141&gt;TODAY()+3650,"🔵 Permanent",IF(H141&lt;=30,"🔴 Critical",IF(H141&lt;=90,"🟡 Expiring Soon","🟢 Active"))))</f>
        <v/>
      </c>
    </row>
    <row r="142">
      <c r="I142" s="17">
        <f>IF(G142="","",IF(G142&gt;TODAY()+3650,"🔵 Permanent",IF(H142&lt;=30,"🔴 Critical",IF(H142&lt;=90,"🟡 Expiring Soon","🟢 Active"))))</f>
        <v/>
      </c>
    </row>
    <row r="143">
      <c r="I143" s="17">
        <f>IF(G143="","",IF(G143&gt;TODAY()+3650,"🔵 Permanent",IF(H143&lt;=30,"🔴 Critical",IF(H143&lt;=90,"🟡 Expiring Soon","🟢 Active"))))</f>
        <v/>
      </c>
    </row>
    <row r="144">
      <c r="I144" s="17">
        <f>IF(G144="","",IF(G144&gt;TODAY()+3650,"🔵 Permanent",IF(H144&lt;=30,"🔴 Critical",IF(H144&lt;=90,"🟡 Expiring Soon","🟢 Active"))))</f>
        <v/>
      </c>
    </row>
    <row r="145">
      <c r="I145" s="17">
        <f>IF(G145="","",IF(G145&gt;TODAY()+3650,"🔵 Permanent",IF(H145&lt;=30,"🔴 Critical",IF(H145&lt;=90,"🟡 Expiring Soon","🟢 Active"))))</f>
        <v/>
      </c>
    </row>
    <row r="146">
      <c r="I146" s="17">
        <f>IF(G146="","",IF(G146&gt;TODAY()+3650,"🔵 Permanent",IF(H146&lt;=30,"🔴 Critical",IF(H146&lt;=90,"🟡 Expiring Soon","🟢 Active"))))</f>
        <v/>
      </c>
    </row>
    <row r="147">
      <c r="I147" s="17">
        <f>IF(G147="","",IF(G147&gt;TODAY()+3650,"🔵 Permanent",IF(H147&lt;=30,"🔴 Critical",IF(H147&lt;=90,"🟡 Expiring Soon","🟢 Active"))))</f>
        <v/>
      </c>
    </row>
    <row r="148">
      <c r="I148" s="17">
        <f>IF(G148="","",IF(G148&gt;TODAY()+3650,"🔵 Permanent",IF(H148&lt;=30,"🔴 Critical",IF(H148&lt;=90,"🟡 Expiring Soon","🟢 Active"))))</f>
        <v/>
      </c>
    </row>
    <row r="149">
      <c r="I149" s="17">
        <f>IF(G149="","",IF(G149&gt;TODAY()+3650,"🔵 Permanent",IF(H149&lt;=30,"🔴 Critical",IF(H149&lt;=90,"🟡 Expiring Soon","🟢 Active"))))</f>
        <v/>
      </c>
    </row>
    <row r="150">
      <c r="I150" s="17">
        <f>IF(G150="","",IF(G150&gt;TODAY()+3650,"🔵 Permanent",IF(H150&lt;=30,"🔴 Critical",IF(H150&lt;=90,"🟡 Expiring Soon","🟢 Active"))))</f>
        <v/>
      </c>
    </row>
    <row r="151">
      <c r="I151" s="17">
        <f>IF(G151="","",IF(G151&gt;TODAY()+3650,"🔵 Permanent",IF(H151&lt;=30,"🔴 Critical",IF(H151&lt;=90,"🟡 Expiring Soon","🟢 Active"))))</f>
        <v/>
      </c>
    </row>
    <row r="152">
      <c r="I152" s="17">
        <f>IF(G152="","",IF(G152&gt;TODAY()+3650,"🔵 Permanent",IF(H152&lt;=30,"🔴 Critical",IF(H152&lt;=90,"🟡 Expiring Soon","🟢 Active"))))</f>
        <v/>
      </c>
    </row>
    <row r="153">
      <c r="I153" s="17">
        <f>IF(G153="","",IF(G153&gt;TODAY()+3650,"🔵 Permanent",IF(H153&lt;=30,"🔴 Critical",IF(H153&lt;=90,"🟡 Expiring Soon","🟢 Active"))))</f>
        <v/>
      </c>
    </row>
    <row r="154">
      <c r="I154" s="17">
        <f>IF(G154="","",IF(G154&gt;TODAY()+3650,"🔵 Permanent",IF(H154&lt;=30,"🔴 Critical",IF(H154&lt;=90,"🟡 Expiring Soon","🟢 Active"))))</f>
        <v/>
      </c>
    </row>
    <row r="155">
      <c r="I155" s="17">
        <f>IF(G155="","",IF(G155&gt;TODAY()+3650,"🔵 Permanent",IF(H155&lt;=30,"🔴 Critical",IF(H155&lt;=90,"🟡 Expiring Soon","🟢 Active"))))</f>
        <v/>
      </c>
    </row>
    <row r="156">
      <c r="I156" s="17">
        <f>IF(G156="","",IF(G156&gt;TODAY()+3650,"🔵 Permanent",IF(H156&lt;=30,"🔴 Critical",IF(H156&lt;=90,"🟡 Expiring Soon","🟢 Active"))))</f>
        <v/>
      </c>
    </row>
    <row r="157">
      <c r="I157" s="17">
        <f>IF(G157="","",IF(G157&gt;TODAY()+3650,"🔵 Permanent",IF(H157&lt;=30,"🔴 Critical",IF(H157&lt;=90,"🟡 Expiring Soon","🟢 Active"))))</f>
        <v/>
      </c>
    </row>
    <row r="158">
      <c r="I158" s="17">
        <f>IF(G158="","",IF(G158&gt;TODAY()+3650,"🔵 Permanent",IF(H158&lt;=30,"🔴 Critical",IF(H158&lt;=90,"🟡 Expiring Soon","🟢 Active"))))</f>
        <v/>
      </c>
    </row>
    <row r="159">
      <c r="I159" s="17">
        <f>IF(G159="","",IF(G159&gt;TODAY()+3650,"🔵 Permanent",IF(H159&lt;=30,"🔴 Critical",IF(H159&lt;=90,"🟡 Expiring Soon","🟢 Active"))))</f>
        <v/>
      </c>
    </row>
    <row r="160">
      <c r="I160" s="17">
        <f>IF(G160="","",IF(G160&gt;TODAY()+3650,"🔵 Permanent",IF(H160&lt;=30,"🔴 Critical",IF(H160&lt;=90,"🟡 Expiring Soon","🟢 Active"))))</f>
        <v/>
      </c>
    </row>
    <row r="161">
      <c r="I161" s="17">
        <f>IF(G161="","",IF(G161&gt;TODAY()+3650,"🔵 Permanent",IF(H161&lt;=30,"🔴 Critical",IF(H161&lt;=90,"🟡 Expiring Soon","🟢 Active"))))</f>
        <v/>
      </c>
    </row>
    <row r="162">
      <c r="I162" s="17">
        <f>IF(G162="","",IF(G162&gt;TODAY()+3650,"🔵 Permanent",IF(H162&lt;=30,"🔴 Critical",IF(H162&lt;=90,"🟡 Expiring Soon","🟢 Active"))))</f>
        <v/>
      </c>
    </row>
    <row r="163">
      <c r="I163" s="17">
        <f>IF(G163="","",IF(G163&gt;TODAY()+3650,"🔵 Permanent",IF(H163&lt;=30,"🔴 Critical",IF(H163&lt;=90,"🟡 Expiring Soon","🟢 Active"))))</f>
        <v/>
      </c>
    </row>
    <row r="164">
      <c r="I164" s="17">
        <f>IF(G164="","",IF(G164&gt;TODAY()+3650,"🔵 Permanent",IF(H164&lt;=30,"🔴 Critical",IF(H164&lt;=90,"🟡 Expiring Soon","🟢 Active"))))</f>
        <v/>
      </c>
    </row>
    <row r="165">
      <c r="I165" s="17">
        <f>IF(G165="","",IF(G165&gt;TODAY()+3650,"🔵 Permanent",IF(H165&lt;=30,"🔴 Critical",IF(H165&lt;=90,"🟡 Expiring Soon","🟢 Active"))))</f>
        <v/>
      </c>
    </row>
    <row r="166">
      <c r="I166" s="17">
        <f>IF(G166="","",IF(G166&gt;TODAY()+3650,"🔵 Permanent",IF(H166&lt;=30,"🔴 Critical",IF(H166&lt;=90,"🟡 Expiring Soon","🟢 Active"))))</f>
        <v/>
      </c>
    </row>
    <row r="167">
      <c r="I167" s="17">
        <f>IF(G167="","",IF(G167&gt;TODAY()+3650,"🔵 Permanent",IF(H167&lt;=30,"🔴 Critical",IF(H167&lt;=90,"🟡 Expiring Soon","🟢 Active"))))</f>
        <v/>
      </c>
    </row>
    <row r="168">
      <c r="I168" s="17">
        <f>IF(G168="","",IF(G168&gt;TODAY()+3650,"🔵 Permanent",IF(H168&lt;=30,"🔴 Critical",IF(H168&lt;=90,"🟡 Expiring Soon","🟢 Active"))))</f>
        <v/>
      </c>
    </row>
    <row r="169">
      <c r="I169" s="17">
        <f>IF(G169="","",IF(G169&gt;TODAY()+3650,"🔵 Permanent",IF(H169&lt;=30,"🔴 Critical",IF(H169&lt;=90,"🟡 Expiring Soon","🟢 Active"))))</f>
        <v/>
      </c>
    </row>
    <row r="170">
      <c r="I170" s="17">
        <f>IF(G170="","",IF(G170&gt;TODAY()+3650,"🔵 Permanent",IF(H170&lt;=30,"🔴 Critical",IF(H170&lt;=90,"🟡 Expiring Soon","🟢 Active"))))</f>
        <v/>
      </c>
    </row>
    <row r="171">
      <c r="I171" s="17">
        <f>IF(G171="","",IF(G171&gt;TODAY()+3650,"🔵 Permanent",IF(H171&lt;=30,"🔴 Critical",IF(H171&lt;=90,"🟡 Expiring Soon","🟢 Active"))))</f>
        <v/>
      </c>
    </row>
    <row r="172">
      <c r="I172" s="17">
        <f>IF(G172="","",IF(G172&gt;TODAY()+3650,"🔵 Permanent",IF(H172&lt;=30,"🔴 Critical",IF(H172&lt;=90,"🟡 Expiring Soon","🟢 Active"))))</f>
        <v/>
      </c>
    </row>
    <row r="173">
      <c r="I173" s="17">
        <f>IF(G173="","",IF(G173&gt;TODAY()+3650,"🔵 Permanent",IF(H173&lt;=30,"🔴 Critical",IF(H173&lt;=90,"🟡 Expiring Soon","🟢 Active"))))</f>
        <v/>
      </c>
    </row>
    <row r="174">
      <c r="I174" s="17">
        <f>IF(G174="","",IF(G174&gt;TODAY()+3650,"🔵 Permanent",IF(H174&lt;=30,"🔴 Critical",IF(H174&lt;=90,"🟡 Expiring Soon","🟢 Active"))))</f>
        <v/>
      </c>
    </row>
    <row r="175">
      <c r="I175" s="17">
        <f>IF(G175="","",IF(G175&gt;TODAY()+3650,"🔵 Permanent",IF(H175&lt;=30,"🔴 Critical",IF(H175&lt;=90,"🟡 Expiring Soon","🟢 Active"))))</f>
        <v/>
      </c>
    </row>
    <row r="176">
      <c r="I176" s="17">
        <f>IF(G176="","",IF(G176&gt;TODAY()+3650,"🔵 Permanent",IF(H176&lt;=30,"🔴 Critical",IF(H176&lt;=90,"🟡 Expiring Soon","🟢 Active"))))</f>
        <v/>
      </c>
    </row>
    <row r="177">
      <c r="I177" s="17">
        <f>IF(G177="","",IF(G177&gt;TODAY()+3650,"🔵 Permanent",IF(H177&lt;=30,"🔴 Critical",IF(H177&lt;=90,"🟡 Expiring Soon","🟢 Active"))))</f>
        <v/>
      </c>
    </row>
    <row r="178">
      <c r="I178" s="17">
        <f>IF(G178="","",IF(G178&gt;TODAY()+3650,"🔵 Permanent",IF(H178&lt;=30,"🔴 Critical",IF(H178&lt;=90,"🟡 Expiring Soon","🟢 Active"))))</f>
        <v/>
      </c>
    </row>
    <row r="179">
      <c r="I179" s="17">
        <f>IF(G179="","",IF(G179&gt;TODAY()+3650,"🔵 Permanent",IF(H179&lt;=30,"🔴 Critical",IF(H179&lt;=90,"🟡 Expiring Soon","🟢 Active"))))</f>
        <v/>
      </c>
    </row>
    <row r="180">
      <c r="I180" s="17">
        <f>IF(G180="","",IF(G180&gt;TODAY()+3650,"🔵 Permanent",IF(H180&lt;=30,"🔴 Critical",IF(H180&lt;=90,"🟡 Expiring Soon","🟢 Active"))))</f>
        <v/>
      </c>
    </row>
    <row r="181">
      <c r="I181" s="17">
        <f>IF(G181="","",IF(G181&gt;TODAY()+3650,"🔵 Permanent",IF(H181&lt;=30,"🔴 Critical",IF(H181&lt;=90,"🟡 Expiring Soon","🟢 Active"))))</f>
        <v/>
      </c>
    </row>
    <row r="182">
      <c r="I182" s="17">
        <f>IF(G182="","",IF(G182&gt;TODAY()+3650,"🔵 Permanent",IF(H182&lt;=30,"🔴 Critical",IF(H182&lt;=90,"🟡 Expiring Soon","🟢 Active"))))</f>
        <v/>
      </c>
    </row>
    <row r="183">
      <c r="I183" s="17">
        <f>IF(G183="","",IF(G183&gt;TODAY()+3650,"🔵 Permanent",IF(H183&lt;=30,"🔴 Critical",IF(H183&lt;=90,"🟡 Expiring Soon","🟢 Active"))))</f>
        <v/>
      </c>
    </row>
    <row r="184">
      <c r="I184" s="17">
        <f>IF(G184="","",IF(G184&gt;TODAY()+3650,"🔵 Permanent",IF(H184&lt;=30,"🔴 Critical",IF(H184&lt;=90,"🟡 Expiring Soon","🟢 Active"))))</f>
        <v/>
      </c>
    </row>
    <row r="185">
      <c r="I185" s="17">
        <f>IF(G185="","",IF(G185&gt;TODAY()+3650,"🔵 Permanent",IF(H185&lt;=30,"🔴 Critical",IF(H185&lt;=90,"🟡 Expiring Soon","🟢 Active"))))</f>
        <v/>
      </c>
    </row>
    <row r="186">
      <c r="I186" s="17">
        <f>IF(G186="","",IF(G186&gt;TODAY()+3650,"🔵 Permanent",IF(H186&lt;=30,"🔴 Critical",IF(H186&lt;=90,"🟡 Expiring Soon","🟢 Active"))))</f>
        <v/>
      </c>
    </row>
    <row r="187">
      <c r="I187" s="17">
        <f>IF(G187="","",IF(G187&gt;TODAY()+3650,"🔵 Permanent",IF(H187&lt;=30,"🔴 Critical",IF(H187&lt;=90,"🟡 Expiring Soon","🟢 Active"))))</f>
        <v/>
      </c>
    </row>
    <row r="188">
      <c r="I188" s="17">
        <f>IF(G188="","",IF(G188&gt;TODAY()+3650,"🔵 Permanent",IF(H188&lt;=30,"🔴 Critical",IF(H188&lt;=90,"🟡 Expiring Soon","🟢 Active"))))</f>
        <v/>
      </c>
    </row>
    <row r="189">
      <c r="I189" s="17">
        <f>IF(G189="","",IF(G189&gt;TODAY()+3650,"🔵 Permanent",IF(H189&lt;=30,"🔴 Critical",IF(H189&lt;=90,"🟡 Expiring Soon","🟢 Active"))))</f>
        <v/>
      </c>
    </row>
    <row r="190">
      <c r="I190" s="17">
        <f>IF(G190="","",IF(G190&gt;TODAY()+3650,"🔵 Permanent",IF(H190&lt;=30,"🔴 Critical",IF(H190&lt;=90,"🟡 Expiring Soon","🟢 Active"))))</f>
        <v/>
      </c>
    </row>
    <row r="191">
      <c r="I191" s="17">
        <f>IF(G191="","",IF(G191&gt;TODAY()+3650,"🔵 Permanent",IF(H191&lt;=30,"🔴 Critical",IF(H191&lt;=90,"🟡 Expiring Soon","🟢 Active"))))</f>
        <v/>
      </c>
    </row>
    <row r="192">
      <c r="I192" s="17">
        <f>IF(G192="","",IF(G192&gt;TODAY()+3650,"🔵 Permanent",IF(H192&lt;=30,"🔴 Critical",IF(H192&lt;=90,"🟡 Expiring Soon","🟢 Active"))))</f>
        <v/>
      </c>
    </row>
    <row r="193">
      <c r="I193" s="17">
        <f>IF(G193="","",IF(G193&gt;TODAY()+3650,"🔵 Permanent",IF(H193&lt;=30,"🔴 Critical",IF(H193&lt;=90,"🟡 Expiring Soon","🟢 Active"))))</f>
        <v/>
      </c>
    </row>
    <row r="194">
      <c r="I194" s="17">
        <f>IF(G194="","",IF(G194&gt;TODAY()+3650,"🔵 Permanent",IF(H194&lt;=30,"🔴 Critical",IF(H194&lt;=90,"🟡 Expiring Soon","🟢 Active"))))</f>
        <v/>
      </c>
    </row>
    <row r="195">
      <c r="I195" s="17">
        <f>IF(G195="","",IF(G195&gt;TODAY()+3650,"🔵 Permanent",IF(H195&lt;=30,"🔴 Critical",IF(H195&lt;=90,"🟡 Expiring Soon","🟢 Active"))))</f>
        <v/>
      </c>
    </row>
    <row r="196">
      <c r="I196" s="17">
        <f>IF(G196="","",IF(G196&gt;TODAY()+3650,"🔵 Permanent",IF(H196&lt;=30,"🔴 Critical",IF(H196&lt;=90,"🟡 Expiring Soon","🟢 Active"))))</f>
        <v/>
      </c>
    </row>
    <row r="197">
      <c r="I197" s="17">
        <f>IF(G197="","",IF(G197&gt;TODAY()+3650,"🔵 Permanent",IF(H197&lt;=30,"🔴 Critical",IF(H197&lt;=90,"🟡 Expiring Soon","🟢 Active"))))</f>
        <v/>
      </c>
    </row>
    <row r="198">
      <c r="I198" s="17">
        <f>IF(G198="","",IF(G198&gt;TODAY()+3650,"🔵 Permanent",IF(H198&lt;=30,"🔴 Critical",IF(H198&lt;=90,"🟡 Expiring Soon","🟢 Active"))))</f>
        <v/>
      </c>
    </row>
    <row r="199">
      <c r="I199" s="17">
        <f>IF(G199="","",IF(G199&gt;TODAY()+3650,"🔵 Permanent",IF(H199&lt;=30,"🔴 Critical",IF(H199&lt;=90,"🟡 Expiring Soon","🟢 Active"))))</f>
        <v/>
      </c>
    </row>
    <row r="200">
      <c r="I200" s="17">
        <f>IF(G200="","",IF(G200&gt;TODAY()+3650,"🔵 Permanent",IF(H200&lt;=30,"🔴 Critical",IF(H200&lt;=90,"🟡 Expiring Soon","🟢 Active"))))</f>
        <v/>
      </c>
    </row>
    <row r="201">
      <c r="I201" s="17">
        <f>IF(G201="","",IF(G201&gt;TODAY()+3650,"🔵 Permanent",IF(H201&lt;=30,"🔴 Critical",IF(H201&lt;=90,"🟡 Expiring Soon","🟢 Active"))))</f>
        <v/>
      </c>
    </row>
    <row r="202">
      <c r="I202" s="17">
        <f>IF(G202="","",IF(G202&gt;TODAY()+3650,"🔵 Permanent",IF(H202&lt;=30,"🔴 Critical",IF(H202&lt;=90,"🟡 Expiring Soon","🟢 Active"))))</f>
        <v/>
      </c>
    </row>
  </sheetData>
  <mergeCells count="1">
    <mergeCell ref="A1:M1"/>
  </mergeCells>
  <conditionalFormatting sqref="H3:H200">
    <cfRule type="colorScale" priority="1">
      <colorScale>
        <cfvo type="num" val="0"/>
        <cfvo type="num" val="60"/>
        <cfvo type="num" val="365"/>
        <color rgb="00FF0000"/>
        <color rgb="00FFC000"/>
        <color rgb="0070AD47"/>
      </colorScale>
    </cfRule>
  </conditionalFormatting>
  <dataValidations count="1">
    <dataValidation sqref="K3:K200" showDropDown="0" showInputMessage="0" showErrorMessage="0" allowBlank="0" type="list">
      <formula1>"Yes,No,Manual,N/A"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2026-09-12T14:52:47Z</dcterms:created>
  <dcterms:modified xmlns:dcterms="http://purl.org/dc/terms/" xmlns:xsi="http://www.w3.org/2001/XMLSchema-instance" xsi:type="dcterms:W3CDTF">2026-09-12T14:52:47Z</dcterms:modified>
</cp:coreProperties>
</file>